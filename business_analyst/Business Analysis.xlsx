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xampp\htdocs\Conclusion_Intermodal_Dry_Port\business_analyst\"/>
    </mc:Choice>
  </mc:AlternateContent>
  <xr:revisionPtr revIDLastSave="0" documentId="13_ncr:1_{E121D42B-FDBF-4D8D-96ED-D70E43926A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sumsi &amp; Sumber Data" sheetId="1" r:id="rId1"/>
    <sheet name="CAPEX Detail" sheetId="2" r:id="rId2"/>
    <sheet name="OPEX Detail" sheetId="3" r:id="rId3"/>
    <sheet name="Model Pendapatan" sheetId="4" r:id="rId4"/>
    <sheet name="Cash Flow 10 Thn" sheetId="5" r:id="rId5"/>
    <sheet name="Matriks SRS (RTM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F15" i="4"/>
  <c r="F14" i="4"/>
  <c r="F13" i="4"/>
  <c r="F12" i="4"/>
  <c r="H12" i="4" s="1"/>
  <c r="F11" i="4"/>
  <c r="H11" i="4" s="1"/>
  <c r="F10" i="4"/>
  <c r="H10" i="4" s="1"/>
  <c r="F9" i="4"/>
  <c r="F8" i="4"/>
  <c r="F7" i="4"/>
  <c r="F6" i="4"/>
  <c r="F16" i="4" s="1"/>
  <c r="C13" i="3"/>
  <c r="D12" i="3"/>
  <c r="D11" i="3"/>
  <c r="F11" i="3" s="1"/>
  <c r="D10" i="3"/>
  <c r="F10" i="3" s="1"/>
  <c r="D9" i="3"/>
  <c r="F9" i="3" s="1"/>
  <c r="D8" i="3"/>
  <c r="D7" i="3"/>
  <c r="D6" i="3"/>
  <c r="D13" i="3" s="1"/>
  <c r="F17" i="2"/>
  <c r="F16" i="2"/>
  <c r="F15" i="2"/>
  <c r="F14" i="2"/>
  <c r="F13" i="2"/>
  <c r="F12" i="2"/>
  <c r="F11" i="2"/>
  <c r="F10" i="2"/>
  <c r="F9" i="2"/>
  <c r="F8" i="2"/>
  <c r="F7" i="2"/>
  <c r="F6" i="2"/>
  <c r="K7" i="5" l="1"/>
  <c r="C7" i="5"/>
  <c r="E7" i="5"/>
  <c r="L7" i="5"/>
  <c r="L9" i="5" s="1"/>
  <c r="H9" i="4"/>
  <c r="J7" i="5"/>
  <c r="I7" i="5"/>
  <c r="I9" i="5" s="1"/>
  <c r="D7" i="5"/>
  <c r="H7" i="5"/>
  <c r="H13" i="4"/>
  <c r="G7" i="5"/>
  <c r="G9" i="5" s="1"/>
  <c r="F7" i="5"/>
  <c r="F9" i="5" s="1"/>
  <c r="H14" i="4"/>
  <c r="H11" i="2"/>
  <c r="F7" i="3"/>
  <c r="H7" i="4"/>
  <c r="H15" i="4"/>
  <c r="H7" i="2"/>
  <c r="H15" i="2"/>
  <c r="H8" i="2"/>
  <c r="H16" i="2"/>
  <c r="I8" i="5"/>
  <c r="G8" i="5"/>
  <c r="F8" i="3"/>
  <c r="K8" i="5"/>
  <c r="H8" i="5"/>
  <c r="F12" i="3"/>
  <c r="C8" i="5"/>
  <c r="J8" i="5"/>
  <c r="F8" i="5"/>
  <c r="L8" i="5"/>
  <c r="D8" i="5"/>
  <c r="E8" i="5"/>
  <c r="H12" i="2"/>
  <c r="H8" i="4"/>
  <c r="H6" i="4"/>
  <c r="H16" i="4" s="1"/>
  <c r="F18" i="2"/>
  <c r="H6" i="2" s="1"/>
  <c r="F6" i="3"/>
  <c r="J9" i="5" l="1"/>
  <c r="J11" i="5" s="1"/>
  <c r="L11" i="5"/>
  <c r="H14" i="2"/>
  <c r="G11" i="5"/>
  <c r="E9" i="5"/>
  <c r="E11" i="5" s="1"/>
  <c r="C9" i="5"/>
  <c r="F13" i="3"/>
  <c r="H9" i="5"/>
  <c r="H11" i="5" s="1"/>
  <c r="K9" i="5"/>
  <c r="E10" i="5"/>
  <c r="B14" i="5"/>
  <c r="K10" i="5"/>
  <c r="H13" i="2"/>
  <c r="G10" i="5"/>
  <c r="L10" i="5"/>
  <c r="D10" i="5"/>
  <c r="C10" i="5"/>
  <c r="H17" i="2"/>
  <c r="H9" i="2"/>
  <c r="H18" i="2" s="1"/>
  <c r="F10" i="5"/>
  <c r="F11" i="5" s="1"/>
  <c r="J10" i="5"/>
  <c r="H10" i="5"/>
  <c r="I10" i="5"/>
  <c r="I11" i="5" s="1"/>
  <c r="D9" i="5"/>
  <c r="D11" i="5" s="1"/>
  <c r="H10" i="2"/>
  <c r="F12" i="5" l="1"/>
  <c r="F13" i="5" s="1"/>
  <c r="F14" i="5" s="1"/>
  <c r="I12" i="5"/>
  <c r="I13" i="5" s="1"/>
  <c r="I14" i="5" s="1"/>
  <c r="K11" i="5"/>
  <c r="J12" i="5"/>
  <c r="J13" i="5"/>
  <c r="J14" i="5" s="1"/>
  <c r="L13" i="5"/>
  <c r="L14" i="5" s="1"/>
  <c r="L12" i="5"/>
  <c r="E12" i="5"/>
  <c r="E13" i="5" s="1"/>
  <c r="E14" i="5" s="1"/>
  <c r="B15" i="5"/>
  <c r="G12" i="5"/>
  <c r="G13" i="5" s="1"/>
  <c r="G14" i="5" s="1"/>
  <c r="D12" i="5"/>
  <c r="D13" i="5" s="1"/>
  <c r="D14" i="5" s="1"/>
  <c r="H12" i="5"/>
  <c r="H13" i="5"/>
  <c r="H14" i="5" s="1"/>
  <c r="C11" i="5"/>
  <c r="C12" i="5" l="1"/>
  <c r="C13" i="5"/>
  <c r="K12" i="5"/>
  <c r="K13" i="5"/>
  <c r="K14" i="5" s="1"/>
  <c r="C14" i="5" l="1"/>
  <c r="B23" i="5"/>
  <c r="B21" i="5" l="1"/>
  <c r="B20" i="5"/>
  <c r="C15" i="5"/>
  <c r="D15" i="5" s="1"/>
  <c r="E15" i="5" s="1"/>
  <c r="F15" i="5" s="1"/>
  <c r="G15" i="5" s="1"/>
  <c r="B22" i="5" l="1"/>
  <c r="H15" i="5"/>
  <c r="I15" i="5" s="1"/>
  <c r="J15" i="5" s="1"/>
  <c r="K15" i="5" s="1"/>
  <c r="L15" i="5" s="1"/>
</calcChain>
</file>

<file path=xl/sharedStrings.xml><?xml version="1.0" encoding="utf-8"?>
<sst xmlns="http://schemas.openxmlformats.org/spreadsheetml/2006/main" count="337" uniqueCount="303">
  <si>
    <t>BASIS ASUMSI, PARAMETER FINANSIAL &amp; SUMBER REGULASI RESMI</t>
  </si>
  <si>
    <t>1. PARAMETER MAKRO EKONOMI &amp; KEUANGAN (BENCHMARK 2026)</t>
  </si>
  <si>
    <t>Parameter Finansial</t>
  </si>
  <si>
    <t>Nilai Asumsi</t>
  </si>
  <si>
    <t>Dasar Hukum &amp; Justifikasi Sumber Data</t>
  </si>
  <si>
    <t>Tingkat Diskonto (Discount Rate / WACC)</t>
  </si>
  <si>
    <t>Ditjen Pengelolaan Pembiayaan dan Risiko Kemenkeu RI / Standar WACC Infrastruktur Transportasi</t>
  </si>
  <si>
    <t>Suku Bunga Acuan Kredit Bank Komersial</t>
  </si>
  <si>
    <t>Bank Indonesia (BI-Rate 6,00% + Risk Premium Pinjaman Investasi Komersial 2,50%)</t>
  </si>
  <si>
    <t>Tarif Pajak Penghasilan Badan (PPh Badan)</t>
  </si>
  <si>
    <t>Undang-Undang No. 7 Tahun 2021 tentang Harmonisasi Peraturan Perpajakan (UU HPP)</t>
  </si>
  <si>
    <t>Masa Penyusutan Aset Tetap</t>
  </si>
  <si>
    <t>Peraturan Menteri Keuangan PMK No. 72 Tahun 2023 tentang Penyusutan Harta Berwujud</t>
  </si>
  <si>
    <t>Kurs Acuan Mata Uang</t>
  </si>
  <si>
    <t>Kurs Tengah Bank Indonesia (Asumsi Anggaran RAPBN 2026)</t>
  </si>
  <si>
    <t>Target Throughput Tahunan Terminal</t>
  </si>
  <si>
    <t>Proyeksi 60% dari kapasitas terpasang 250.000 TEU/tahun (Captive Market Cikarang–Karawang)</t>
  </si>
  <si>
    <t>2. REGULASI RESMI &amp; STANDAR TARIF OPERASIONAL LAPANGAN</t>
  </si>
  <si>
    <t>Lingkup Regulasi / Tarif</t>
  </si>
  <si>
    <t>Regulasi &amp; Standar Rujukan</t>
  </si>
  <si>
    <t>Deskripsi Penerapan pada Proyek CIDP</t>
  </si>
  <si>
    <t>Kepatuhan Bea Cukai (Jalur Hijau/Merah)</t>
  </si>
  <si>
    <t>PMK No. 190/PMK.04/2022</t>
  </si>
  <si>
    <t>Kemenkeu RI tentang Pengeluaran Barang Impor untuk Dipakai &amp; integrasi sistem CEISA 4.0</t>
  </si>
  <si>
    <t>Kewajiban Timbangan Berat Kotor (VGM)</t>
  </si>
  <si>
    <t>IMO SOLAS Chapter VI Reg 2</t>
  </si>
  <si>
    <t>Regulasi Maritim Internasional wajib verifikasi berat kontainer sebelum dimuat ke kapal/kereta</t>
  </si>
  <si>
    <t>Tarif Hak Akses Jalur Rel KA (TAC)</t>
  </si>
  <si>
    <t>PM No. 62 Tahun 2018 Kemenhub</t>
  </si>
  <si>
    <t>Pedoman Perhitungan Tarif Penggunaan Prasarana Perkeretaapian Umum PT Kereta Api Indonesia</t>
  </si>
  <si>
    <t>Tarif Jasa Bongkar Muat (Lo-Lo)</t>
  </si>
  <si>
    <t>SK Tarif ASDEKI Jabar 2024/2026</t>
  </si>
  <si>
    <t>Kesepakatan Asosiasi Depo Kontainer Indonesia &amp; ALFI wilayah Koridor Logistik Jawa Barat</t>
  </si>
  <si>
    <t>Tarif Listrik Industri Gardu 380V</t>
  </si>
  <si>
    <t>Tarif Listrik PLN Golongan I-3/TM</t>
  </si>
  <si>
    <t>Peraturan Menteri ESDM: Tarif listrik industri menengah tegangan menengah Rp 1.114,74 / kWh</t>
  </si>
  <si>
    <t>Harga Bahan Bakar Solar Industri</t>
  </si>
  <si>
    <t>Patokan Pertamina Wilayah II Jabar</t>
  </si>
  <si>
    <t>Harga solar industri HSD non-subsidi B35/B40 rata-rata Rp 15.500 per liter per 2026</t>
  </si>
  <si>
    <t>Standar Gaji &amp; Upah Tenaga Kerja</t>
  </si>
  <si>
    <t>Kepgub Jabar UMK Bekasi 2024/2026</t>
  </si>
  <si>
    <t>Upah Minimum Kabupaten Bekasi Rp 5,2-5,5 Juta/bln + Tunjangan SIO Kemenaker Rp 8-12 Juta/bln</t>
  </si>
  <si>
    <t>Standar Penomoran &amp; Barcode Palet</t>
  </si>
  <si>
    <t>GS1 General Specifications v23</t>
  </si>
  <si>
    <t>Standar internasional Application Identifier AI (00) SSCC-18 dan ISO 6346:2022</t>
  </si>
  <si>
    <t>STRUKTUR BELANJA MODAL AWAL (CAPITAL EXPENDITURE)</t>
  </si>
  <si>
    <t>Komponen Investasi Aset</t>
  </si>
  <si>
    <t>Spesifikasi Teknis</t>
  </si>
  <si>
    <t>Vol</t>
  </si>
  <si>
    <t>Satuan</t>
  </si>
  <si>
    <t>Harga Satuan (IDR)</t>
  </si>
  <si>
    <t>Subtotal Biaya (IDR)</t>
  </si>
  <si>
    <t>Dasar Asumsi &amp; Sumber Data</t>
  </si>
  <si>
    <t>Porsi %</t>
  </si>
  <si>
    <t>Lahan &amp; Pekerjaan Tanah Matang</t>
  </si>
  <si>
    <t>Pembebasan &amp; perataan tanah 35 Hektar (350.000 m²)</t>
  </si>
  <si>
    <t>m²</t>
  </si>
  <si>
    <t>NJOP &amp; harga pasar lahan industri Cikarang (MM2100/GIIC Rp 150-250rb/m² mentah)</t>
  </si>
  <si>
    <t>Perkerasan Heavy Duty Rigid 80t</t>
  </si>
  <si>
    <t>Pengecoran beton K-450 tebal 40 cm daya beban 80 Ton</t>
  </si>
  <si>
    <t>AHSP PUPR 2024: Beton ready-mix K-450, pembesian wiremesh ganda, sub-base agregat A</t>
  </si>
  <si>
    <t>Armada: Kalmar Reach Stacker</t>
  </si>
  <si>
    <t>Kalmar Gloria DRG450 45t (Spreader 20-40ft DGPS)</t>
  </si>
  <si>
    <t>Unit</t>
  </si>
  <si>
    <t>Pricelist resmi Kalmar Cargotec Indonesia 2024: USD 580.000/unit @ Rp 15.500</t>
  </si>
  <si>
    <t>Armada: Konecranes Electric RTG</t>
  </si>
  <si>
    <t>Konecranes 16-wheel RTG Crane 40t elektrik</t>
  </si>
  <si>
    <t>Katalog pasar Konecranes Port Solutions 2024: USD 1.800.000/unit @ Rp 15.500</t>
  </si>
  <si>
    <t>Sepur Simpan Rel KA (Double Track)</t>
  </si>
  <si>
    <t>2 Jalur rel panjang 600m rel R54 bantalan beton + wesel</t>
  </si>
  <si>
    <t>Sepur</t>
  </si>
  <si>
    <t>Standar Biaya Konstruksi Ditjen Perkeretaapian Kemenhub: Rp 28-35 M/km sepur ganda</t>
  </si>
  <si>
    <t>Gudang CFS LCL 4.000 m²</t>
  </si>
  <si>
    <t>Gedung baja bebas debu + 5 rampa dock leveller hidrolik</t>
  </si>
  <si>
    <t>Paket</t>
  </si>
  <si>
    <t>Biaya bangun gudang industri berstandar Bea Cukai: Rp 3,75 Juta/m² termasuk dock leveller</t>
  </si>
  <si>
    <t>Cold Chain: Reefer Yard Racks</t>
  </si>
  <si>
    <t>Dermaga 300 steker listrik 380V/32A + trafo 1.250 kVA</t>
  </si>
  <si>
    <t>Plugs</t>
  </si>
  <si>
    <t>Pengadaan panel socket industri CEE 380V + instalasi gardu trafo distribusi PLN</t>
  </si>
  <si>
    <t>Otomasi: Jembatan Timbang 80t</t>
  </si>
  <si>
    <t>Jembatan timbang pitless 18m bersertifikasi metrologi</t>
  </si>
  <si>
    <t>Katalog Avery Weight-Tronix / Gajah Mas: Rp 850 Juta per unit termasuk software load cell</t>
  </si>
  <si>
    <t>Otomasi: Kamera ANPR &amp; OCR Boks</t>
  </si>
  <si>
    <t>Kamera ANPR plat + OCR ISO 6346 4 Lane Gerbang</t>
  </si>
  <si>
    <t>Lane</t>
  </si>
  <si>
    <t>Spesifikasi kamera industri IP67 Hikvision/Vivotek port-grade + server edge AI OCR</t>
  </si>
  <si>
    <t>Otomasi: Portal RFID &amp; Barrier</t>
  </si>
  <si>
    <t>Portal RFID UHF EPC Gen2 + Palang barrier otomatis</t>
  </si>
  <si>
    <t>Spesifikasi Zebra FX9600 4-port reader + antena panel circular 9 dBi + barrier Magnetic</t>
  </si>
  <si>
    <t>Server On-Premise, Jaringan &amp; IT</t>
  </si>
  <si>
    <t>Server Dell PowerEdge HA + Firewall Fortinet + Switch</t>
  </si>
  <si>
    <t>Infrastruktur server datacenter tier-2 terminal pelabuhan + UPS backup 20 kVA</t>
  </si>
  <si>
    <t>Software CIDP YMS &amp; Lisensi ERP</t>
  </si>
  <si>
    <t>Pengembangan software YMS 3D + Lisensi Odoo Enterprise</t>
  </si>
  <si>
    <t>Jasa rekayasa perangkat lunak logistik custom + kustomisasi modul Odoo Accounting</t>
  </si>
  <si>
    <t>TOTAL ESTIMASI INVESTASI AWAL (CAPEX)</t>
  </si>
  <si>
    <t>STRUKTUR BIAYA OPERASIONAL RUTIN (OPERATIONAL EXPENDITURE)</t>
  </si>
  <si>
    <t>Kategori Biaya Operasional</t>
  </si>
  <si>
    <t>Komponen Parameter Hitung</t>
  </si>
  <si>
    <t>Biaya per Bulan (IDR)</t>
  </si>
  <si>
    <t>Biaya per Tahun (IDR)</t>
  </si>
  <si>
    <t>BBM Solar HSD Reach Stacker</t>
  </si>
  <si>
    <t>3 RS × 18 liter/jam × 16 jam/hari × 360 hari × Rp 15.500/liter</t>
  </si>
  <si>
    <t>Spesifikasi mesin Volvo TAD1350VE Kalmar RS (18 L/jam), Solar industri Pertamina Rp 15.500/L</t>
  </si>
  <si>
    <t>Listrik PLN Gardu Industri 380V</t>
  </si>
  <si>
    <t>Beban RTG Crane + 300 steker reefer (avg 150 aktif) + lampu yard</t>
  </si>
  <si>
    <t>Tarif PLN Golongan I-3/TM (Rp 1.114,74/kWh) + beban pemakaian daya trafo 1.250 kVA</t>
  </si>
  <si>
    <t>Gaji &amp; Payroll 82 Karyawan</t>
  </si>
  <si>
    <t>Operator Crane (8), Gate (12), CFS (16), M&amp;R (8), IT (6), Safety (12), Admin (20)</t>
  </si>
  <si>
    <t>Standar UMK Bekasi Rp 5,2 Jt + Tunjangan Sertifikasi SIO Kemenaker Operator Rp 8-12 Jt/bln</t>
  </si>
  <si>
    <t>Track Access Charge (TAC) KAI</t>
  </si>
  <si>
    <t>Biaya hak lintas rel KA &amp; bagi hasil traksi lokomotif koridor Priok</t>
  </si>
  <si>
    <t>Peraturan Menhub PM No. 62/2018 tentang tarif penggunaan prasarana perkeretaapian umum</t>
  </si>
  <si>
    <t>Perawatan Suku Cadang (M&amp;R)</t>
  </si>
  <si>
    <t>Penggantian ban crane heavy-duty, pelumas hidrolik, tera timbangan 80t</t>
  </si>
  <si>
    <t>Benchmark M&amp;R alat berat pelabuhan (3-4% nilai aset/tahun) + kalibrasi berkala Badan Metrologi</t>
  </si>
  <si>
    <t>Asuransi Tanggung Gugat Terminal</t>
  </si>
  <si>
    <t>Terminal Operator Liability Insurance &amp; All-Risk properti</t>
  </si>
  <si>
    <t>Polis asuransi standar industri pelabuhan dari Jasindo/Askrindo meng-cover klaim kargo &amp; alat</t>
  </si>
  <si>
    <t>Lisensi IT, Cloud &amp; Keamanan</t>
  </si>
  <si>
    <t>Hosting cloud AWS Jakarta, lisensi Odoo ERP, SSL/TLS, internet leased line</t>
  </si>
  <si>
    <t>Paket cloud AWS EC2 RDS multi-AZ + langganan internet leased line fiber optic 200 Mbps</t>
  </si>
  <si>
    <t>TOTAL BIAYA OPERASIONAL (OPEX)</t>
  </si>
  <si>
    <t>MODEL PENDAPATAN KOMERSIAL TERMINAL (REVENUE STREAMS)</t>
  </si>
  <si>
    <t>Jenis Jasa Layanan</t>
  </si>
  <si>
    <t>Dasar Pengenaan</t>
  </si>
  <si>
    <t>Volume Tahunan</t>
  </si>
  <si>
    <t>Tarif Satuan (IDR)</t>
  </si>
  <si>
    <t>Proyeksi Omset Tahunan (IDR)</t>
  </si>
  <si>
    <t>Dasar Tarif &amp; Sumber Rujukan</t>
  </si>
  <si>
    <t>Kontribusi %</t>
  </si>
  <si>
    <t>Jasa Bongkar Muat Lo-Lo 20ft</t>
  </si>
  <si>
    <t>Penanganan lift-on/lift-off kontainer 20ft</t>
  </si>
  <si>
    <t>Box</t>
  </si>
  <si>
    <t>SK Tarif ASDEKI Jabar: Rata-rata Rp 175rb/box 20ft di depo penyangga</t>
  </si>
  <si>
    <t>Jasa Bongkar Muat Lo-Lo 40ft</t>
  </si>
  <si>
    <t>Penanganan lift-on/lift-off kontainer 40ft</t>
  </si>
  <si>
    <t>SK Tarif ASDEKI Jabar: Rata-rata Rp 275rb/box 40ft di depo penyangga</t>
  </si>
  <si>
    <t>Penumpukan Lapangan Masa II</t>
  </si>
  <si>
    <t>Hari ke-4 s/d hari ke-10 (Rp 45.000 / box / hari)</t>
  </si>
  <si>
    <t>Box-Hari</t>
  </si>
  <si>
    <t>Asumsi 40% box lewat masa bebas 3 hari (rata-rata inap 4 hari di Masa II)</t>
  </si>
  <si>
    <t>Penumpukan Lapangan Masa III</t>
  </si>
  <si>
    <t>Hari ke-11 ke atas tarif progresif (Rp 90.000 / hari)</t>
  </si>
  <si>
    <t>Denda progresif 200% Masa II untuk mempercepat turnover yard / penalti dwell</t>
  </si>
  <si>
    <t>Bagi Hasil KA Logistik (Siding)</t>
  </si>
  <si>
    <t>Margin bagi hasil per gerbong datar koridor Priok</t>
  </si>
  <si>
    <t>Gerbong</t>
  </si>
  <si>
    <t>PKS Kerjasama PT KAI Logistik: Margin bagi hasil Rp 1,5 Jt per gerbong isi</t>
  </si>
  <si>
    <t>Gudang CFS Stuffing / Stripping</t>
  </si>
  <si>
    <t>Layanan konsolidasi ekspor &amp; dekonsolidasi LCL</t>
  </si>
  <si>
    <t>Tarif jasa pergudangan CFS resmi ALFI Jabar Rp 450rb/box FCL to LCL</t>
  </si>
  <si>
    <t>Steker Listrik Reefer Yard</t>
  </si>
  <si>
    <t>Colokan listrik 380V kargo dingin (per shift 8 jam)</t>
  </si>
  <si>
    <t>Shift</t>
  </si>
  <si>
    <t>Standar tarif plugging reefer depo ASDEKI: Rp 250rb per shift (8 jam listrik + monitoring)</t>
  </si>
  <si>
    <t>Jembatan Timbang VGM SOLAS</t>
  </si>
  <si>
    <t>Penimbangan kargo ekspor wajib di Gate-In</t>
  </si>
  <si>
    <t>Truk</t>
  </si>
  <si>
    <t>Tarif timbang resmi jembatan timbang terkalibrasi metrologi Rp 50rb per truk</t>
  </si>
  <si>
    <t>Jasa Behandle Karantina Pabean</t>
  </si>
  <si>
    <t>Pemeriksaan fisik Jalur Merah di hanggar DJBC</t>
  </si>
  <si>
    <t>Tarif reposisi boks ke hanggar behandle sesuai PMK 190/2022 (5% dari total box impor)</t>
  </si>
  <si>
    <t>Penerbitan Digital e-Gate Pass</t>
  </si>
  <si>
    <t>Administrasi dokumen pass digital kode QR</t>
  </si>
  <si>
    <t>Transaksi</t>
  </si>
  <si>
    <t>Biaya administrasi pencetakan tiket digital e-Pass terminal gate Rp 15rb/truk</t>
  </si>
  <si>
    <t>TOTAL PROYEKSI PENDAPATAN KOTOR (GROSS REVENUE)</t>
  </si>
  <si>
    <t>PROYEKSI ARUS KAS 10 TAHUN &amp; INDIKATOR KELAYAKAN FINANSIAL</t>
  </si>
  <si>
    <t>Komponen Arus Kas Finansial</t>
  </si>
  <si>
    <t>Tahun 0 (CAPEX)</t>
  </si>
  <si>
    <t>Tahun 1</t>
  </si>
  <si>
    <t>Tahun 2</t>
  </si>
  <si>
    <t>Tahun 3</t>
  </si>
  <si>
    <t>Tahun 4</t>
  </si>
  <si>
    <t>Tahun 5</t>
  </si>
  <si>
    <t>Tahun 6</t>
  </si>
  <si>
    <t>Tahun 7</t>
  </si>
  <si>
    <t>Tahun 8</t>
  </si>
  <si>
    <t>Tahun 9</t>
  </si>
  <si>
    <t>Tahun 10</t>
  </si>
  <si>
    <t>Volume Throughput Terminal (TEU)</t>
  </si>
  <si>
    <t>Pendapatan Kotor (Gross Revenue)</t>
  </si>
  <si>
    <t>Beban Operasional Rutin (OPEX)</t>
  </si>
  <si>
    <t>EBITDA (Laba Sebelum Bunga, Pajak &amp; Depr)</t>
  </si>
  <si>
    <t>Penyusutan (Depresiasi Garis Lurus 20 Thn)</t>
  </si>
  <si>
    <t>Laba Sebelum Pajak (EBT)</t>
  </si>
  <si>
    <t>Pajak Penghasilan Badan (PPh 22% UU HPP)</t>
  </si>
  <si>
    <t>Laba Bersih Setelah Pajak (EAT / Net Profit)</t>
  </si>
  <si>
    <t>Arus Kas Masuk Bersih (Net Cash Flow)</t>
  </si>
  <si>
    <t>Arus Kas Kumulatif (Cumulative Cash Flow)</t>
  </si>
  <si>
    <t>HASIL EVALUASI INVESTASI DENGAN FORMULA ASLI EXCEL</t>
  </si>
  <si>
    <t>Dasar: Standar diskonto infrastruktur Kemenkeu RI</t>
  </si>
  <si>
    <t>Net Present Value (NPV)</t>
  </si>
  <si>
    <t>Status: POSITIF (+Rp 22,91 M) | Proyek FEASIBLE &amp; Sangat Layak Dijalankan</t>
  </si>
  <si>
    <t>Internal Rate of Return (IRR)</t>
  </si>
  <si>
    <t>Status: 11,90% | Melampaui suku bunga kredit bank komersial 8,50%</t>
  </si>
  <si>
    <t>Payback Period (PBP)</t>
  </si>
  <si>
    <t>Status: Balik modal pada Tahun ke-5,98 (&lt; 6 Tahun, batas aman industri 8-10 tahun)</t>
  </si>
  <si>
    <t>Return on Investment (ROI 10 Thn)</t>
  </si>
  <si>
    <t>Status: 140,6% | Akumulasi laba bersih 10 tahun melampaui investasi modal awal</t>
  </si>
  <si>
    <t>MATRIKS KEBUTUHAN SISTEM (REQUIREMENT TRACEABILITY MATRIX - RTM)</t>
  </si>
  <si>
    <t>Req ID</t>
  </si>
  <si>
    <t>Nama Modul Kebutuhan</t>
  </si>
  <si>
    <t>Deskripsi Spesifikasi Fungsional / Non-Fungsional</t>
  </si>
  <si>
    <t>Prioritas</t>
  </si>
  <si>
    <t>Aktor Pengguna</t>
  </si>
  <si>
    <t>Modul File Web</t>
  </si>
  <si>
    <t>Instrumen Teknologi Terkait</t>
  </si>
  <si>
    <t>Mapping QA Test</t>
  </si>
  <si>
    <t>FR-01</t>
  </si>
  <si>
    <t>Gate Ingestion Otomatis</t>
  </si>
  <si>
    <t>Sistem wajib menerima data ANPR plat nomor, OCR nomor kontainer, dan bobot jembatan timbang &lt;5 detik.</t>
  </si>
  <si>
    <t>High</t>
  </si>
  <si>
    <t>Gate Officer</t>
  </si>
  <si>
    <t>pages/gate.php</t>
  </si>
  <si>
    <t>Kamera ANPR, OCR ISO 6346 &amp; Timbangan 80t</t>
  </si>
  <si>
    <t>QA-TC-01</t>
  </si>
  <si>
    <t>FR-02</t>
  </si>
  <si>
    <t>Validasi SOLAS VGM (&lt;34t)</t>
  </si>
  <si>
    <t>Sistem secara otomatis menolak truk trailer dengan muatan kargo melebihi batas legal 34.000 kg.</t>
  </si>
  <si>
    <t>Critical</t>
  </si>
  <si>
    <t>Gate &amp; Weighbridge</t>
  </si>
  <si>
    <t>Jembatan Timbang Digital 80 Ton</t>
  </si>
  <si>
    <t>QA-TC-02</t>
  </si>
  <si>
    <t>FR-03</t>
  </si>
  <si>
    <t>Alokasi 3D Bay-Row-Tier</t>
  </si>
  <si>
    <t>Sistem mengalokasikan koordinat penumpukan 3D otomatis untuk meminimalkan rasio shifting derek.</t>
  </si>
  <si>
    <t>RS Crane Operator</t>
  </si>
  <si>
    <t>pages/simulator.php</t>
  </si>
  <si>
    <t>Engine Stacking YMS 3D</t>
  </si>
  <si>
    <t>QA-TC-05</t>
  </si>
  <si>
    <t>FR-04</t>
  </si>
  <si>
    <t>Scanner Optik GS1 SSCC-18</t>
  </si>
  <si>
    <t>Engine computer vision wajib mem-parsing Application Identifier AI (00) dan validasi Modulo 10.</t>
  </si>
  <si>
    <t>CFS Tally Master</t>
  </si>
  <si>
    <t>pages/scanner.php</t>
  </si>
  <si>
    <t>html5-qrcode &amp; Kamera PDA</t>
  </si>
  <si>
    <t>QA-TC-04</t>
  </si>
  <si>
    <t>FR-05</t>
  </si>
  <si>
    <t>Validasi Check Digit ISO 6346</t>
  </si>
  <si>
    <t>Sistem wajib memvalidasi nomor seri kontainer menggunakan rumus bobot pangkat 2 Modulo 11.</t>
  </si>
  <si>
    <t>AIDC Scanner</t>
  </si>
  <si>
    <t>Algoritma ISO Modulo 11</t>
  </si>
  <si>
    <t>QA-TC-03</t>
  </si>
  <si>
    <t>FR-06</t>
  </si>
  <si>
    <t>Webhook Rilis SPPB CEISA 4.0</t>
  </si>
  <si>
    <t>Menerima respons status kepabeanan DJBC dan memperbarui status boks menjadi SPPB CLEARED.</t>
  </si>
  <si>
    <t>Customs Officer</t>
  </si>
  <si>
    <t>pages/customs.php</t>
  </si>
  <si>
    <t>REST API Webhook CEISA 4.0</t>
  </si>
  <si>
    <t>QA-TC-06</t>
  </si>
  <si>
    <t>FR-07</t>
  </si>
  <si>
    <t>Karantina Behandle Jalur Merah</t>
  </si>
  <si>
    <t>Mengunci status boks CUSTOMS HOLD dan menolak otorisasi Gate-Out hingga ada rilis fisik.</t>
  </si>
  <si>
    <t>Hanggar DJBC</t>
  </si>
  <si>
    <t>Portal Gantry X-Ray 6 MeV</t>
  </si>
  <si>
    <t>FR-08</t>
  </si>
  <si>
    <t>Monitoring E-Seal Transit KA</t>
  </si>
  <si>
    <t>Menerima sinyal koordinat satelit dan memicu alarm pabean jika kawat segel transit putus.</t>
  </si>
  <si>
    <t>Customs &amp; Security</t>
  </si>
  <si>
    <t>Smart GPS E-Seal IoT SIM</t>
  </si>
  <si>
    <t>FR-09</t>
  </si>
  <si>
    <t>Mesin Tarif Terminal Otomatis</t>
  </si>
  <si>
    <t>Menghitung tagihan Lo-Lo, timbangan, reefer, dan denda inap Masa II &amp; III secara presisi.</t>
  </si>
  <si>
    <t>Billing Admin</t>
  </si>
  <si>
    <t>pages/billing.php</t>
  </si>
  <si>
    <t>Terminal Tariff Engine</t>
  </si>
  <si>
    <t>QA-TC-07</t>
  </si>
  <si>
    <t>FR-10</t>
  </si>
  <si>
    <t>Zero Revenue Leakage Gate Lock</t>
  </si>
  <si>
    <t>Palang gerbang Gate-Out terkunci permanen hingga status faktur di ERP Odoo bernilai PAID.</t>
  </si>
  <si>
    <t>Gate &amp; Finance</t>
  </si>
  <si>
    <t>Integrasi REST API ERP Odoo</t>
  </si>
  <si>
    <t>FR-11</t>
  </si>
  <si>
    <t>Digital e-Tally Gudang CFS</t>
  </si>
  <si>
    <t>Mencatat pembongkaran kargo FCL ke palet LCL dan menerbitkan Berita Acara Rekonsiliasi.</t>
  </si>
  <si>
    <t>Medium</t>
  </si>
  <si>
    <t>CFS Supervisor</t>
  </si>
  <si>
    <t>pages/cfs.php</t>
  </si>
  <si>
    <t>Tablet Tally Master CFS</t>
  </si>
  <si>
    <t>NFR-01</t>
  </si>
  <si>
    <t>Kecepatan Respon REST API</t>
  </si>
  <si>
    <t>Waktu respon endpoint API backend wajib di bawah 150 milidetik pada beban 100 concurrent user.</t>
  </si>
  <si>
    <t>System Architect</t>
  </si>
  <si>
    <t>api/gateway</t>
  </si>
  <si>
    <t>Arsitektur Decoupled REST API</t>
  </si>
  <si>
    <t>QA-SLA-01</t>
  </si>
  <si>
    <t>NFR-02</t>
  </si>
  <si>
    <t>Ketersediaan Sistem (Uptime)</t>
  </si>
  <si>
    <t>Tingkat ketersediaan sistem wajib mencapai minimal 99.9% dengan arsitektur failover database.</t>
  </si>
  <si>
    <t>Infrastructure Specialist</t>
  </si>
  <si>
    <t>Server &amp; DB</t>
  </si>
  <si>
    <t>MySQL Master-Slave Replication</t>
  </si>
  <si>
    <t>QA-SLA-02</t>
  </si>
  <si>
    <t>NFR-03</t>
  </si>
  <si>
    <t>Keamanan Data &amp; Enkripsi</t>
  </si>
  <si>
    <t>Seluruh transmisi payload data wajib terenkripsi protokol HTTPS TLS 1.3 dan token JWT.</t>
  </si>
  <si>
    <t>Security Officer</t>
  </si>
  <si>
    <t>Auth Gateway</t>
  </si>
  <si>
    <t>Enkripsi TLS 1.3 &amp; JWT Token</t>
  </si>
  <si>
    <t>QA-SLA-03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</si>
</sst>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&quot; Tahun&quot;"/>
    <numFmt numFmtId="166" formatCode="&quot;Rp &quot;#,##0&quot; / USD&quot;"/>
    <numFmt numFmtId="167" formatCode="#,##0&quot; TEU / Tahun&quot;"/>
    <numFmt numFmtId="168" formatCode="&quot;Rp &quot;#,##0"/>
    <numFmt numFmtId="169" formatCode="0.00&quot; Tahun&quot;"/>
  </numFmts>
  <fonts count="13" x14ac:knownFonts="1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</font>
    <font>
      <b/>
      <sz val="9.5"/>
      <color rgb="FFFFFFFF"/>
      <name val="Calibri"/>
      <family val="2"/>
    </font>
    <font>
      <b/>
      <sz val="9.5"/>
      <color rgb="FF111827"/>
      <name val="Calibri"/>
      <family val="2"/>
    </font>
    <font>
      <sz val="8.5"/>
      <color rgb="FF374151"/>
      <name val="Calibri"/>
      <family val="2"/>
    </font>
    <font>
      <sz val="9.5"/>
      <color rgb="FF1F2937"/>
      <name val="Calibri"/>
      <family val="2"/>
    </font>
    <font>
      <b/>
      <sz val="10.5"/>
      <color rgb="FF111827"/>
      <name val="Calibri"/>
      <family val="2"/>
    </font>
    <font>
      <b/>
      <sz val="10"/>
      <color rgb="FF111827"/>
      <name val="Calibri"/>
      <family val="2"/>
    </font>
    <font>
      <b/>
      <sz val="9"/>
      <color rgb="FF92400E"/>
      <name val="Calibri"/>
      <family val="2"/>
    </font>
    <font>
      <b/>
      <sz val="9"/>
      <color rgb="FF991B1B"/>
      <name val="Calibri"/>
      <family val="2"/>
    </font>
    <font>
      <b/>
      <sz val="13"/>
      <name val="Calibri"/>
      <family val="2"/>
    </font>
    <font>
      <sz val="11"/>
      <name val="Calibri"/>
      <family val="2"/>
      <scheme val="minor"/>
    </font>
    <font>
      <i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5568"/>
        <bgColor rgb="FF4A5568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1F2937"/>
      </top>
      <bottom style="double">
        <color rgb="FF1F293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3" fillId="0" borderId="1" xfId="0" applyFont="1" applyBorder="1"/>
    <xf numFmtId="10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165" fontId="3" fillId="0" borderId="1" xfId="0" applyNumberFormat="1" applyFont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68" fontId="5" fillId="3" borderId="1" xfId="0" applyNumberFormat="1" applyFont="1" applyFill="1" applyBorder="1" applyAlignment="1">
      <alignment horizontal="right"/>
    </xf>
    <xf numFmtId="168" fontId="3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8" fontId="5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0" fillId="4" borderId="2" xfId="0" applyFill="1" applyBorder="1"/>
    <xf numFmtId="168" fontId="6" fillId="4" borderId="2" xfId="0" applyNumberFormat="1" applyFont="1" applyFill="1" applyBorder="1" applyAlignment="1">
      <alignment horizontal="right"/>
    </xf>
    <xf numFmtId="164" fontId="3" fillId="4" borderId="2" xfId="0" applyNumberFormat="1" applyFont="1" applyFill="1" applyBorder="1" applyAlignment="1">
      <alignment horizontal="center"/>
    </xf>
    <xf numFmtId="168" fontId="3" fillId="4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/>
    <xf numFmtId="0" fontId="3" fillId="4" borderId="2" xfId="0" applyFont="1" applyFill="1" applyBorder="1"/>
    <xf numFmtId="0" fontId="0" fillId="4" borderId="2" xfId="0" applyFill="1" applyBorder="1"/>
    <xf numFmtId="0" fontId="1" fillId="0" borderId="0" xfId="0" applyFont="1"/>
    <xf numFmtId="0" fontId="11" fillId="0" borderId="0" xfId="0" applyFont="1" applyFill="1"/>
    <xf numFmtId="0" fontId="12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3" fillId="3" borderId="3" xfId="0" applyFont="1" applyFill="1" applyBorder="1"/>
    <xf numFmtId="164" fontId="7" fillId="3" borderId="3" xfId="0" applyNumberFormat="1" applyFont="1" applyFill="1" applyBorder="1" applyAlignment="1">
      <alignment horizontal="right"/>
    </xf>
    <xf numFmtId="0" fontId="4" fillId="3" borderId="3" xfId="0" applyFont="1" applyFill="1" applyBorder="1"/>
    <xf numFmtId="168" fontId="7" fillId="3" borderId="3" xfId="0" applyNumberFormat="1" applyFont="1" applyFill="1" applyBorder="1" applyAlignment="1">
      <alignment horizontal="right"/>
    </xf>
    <xf numFmtId="10" fontId="7" fillId="3" borderId="3" xfId="0" applyNumberFormat="1" applyFont="1" applyFill="1" applyBorder="1" applyAlignment="1">
      <alignment horizontal="right"/>
    </xf>
    <xf numFmtId="169" fontId="7" fillId="3" borderId="3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topLeftCell="A15" workbookViewId="0">
      <selection activeCell="B15" sqref="B15:B29"/>
    </sheetView>
  </sheetViews>
  <sheetFormatPr defaultRowHeight="14.5" x14ac:dyDescent="0.35"/>
  <cols>
    <col min="1" max="1" width="58.90625" bestFit="1" customWidth="1"/>
    <col min="2" max="2" width="28" bestFit="1" customWidth="1"/>
    <col min="3" max="3" width="64.6328125" bestFit="1" customWidth="1"/>
  </cols>
  <sheetData>
    <row r="1" spans="1:8" ht="26" customHeight="1" x14ac:dyDescent="0.35">
      <c r="A1" s="44" t="s">
        <v>0</v>
      </c>
      <c r="B1" s="44"/>
      <c r="C1" s="44"/>
      <c r="D1" s="47"/>
      <c r="E1" s="47"/>
      <c r="F1" s="47"/>
      <c r="G1" s="47"/>
      <c r="H1" s="47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4" spans="1:8" x14ac:dyDescent="0.35">
      <c r="A4" s="1" t="s">
        <v>1</v>
      </c>
    </row>
    <row r="5" spans="1:8" ht="24" customHeight="1" x14ac:dyDescent="0.35">
      <c r="A5" s="2" t="s">
        <v>2</v>
      </c>
      <c r="B5" s="3" t="s">
        <v>3</v>
      </c>
      <c r="C5" s="2" t="s">
        <v>4</v>
      </c>
    </row>
    <row r="6" spans="1:8" ht="20" customHeight="1" x14ac:dyDescent="0.35">
      <c r="A6" s="4" t="s">
        <v>5</v>
      </c>
      <c r="B6" s="5">
        <v>0.1</v>
      </c>
      <c r="C6" s="6" t="s">
        <v>6</v>
      </c>
    </row>
    <row r="7" spans="1:8" ht="20" customHeight="1" x14ac:dyDescent="0.35">
      <c r="A7" s="7" t="s">
        <v>7</v>
      </c>
      <c r="B7" s="8">
        <v>8.5000000000000006E-2</v>
      </c>
      <c r="C7" s="9" t="s">
        <v>8</v>
      </c>
    </row>
    <row r="8" spans="1:8" ht="20" customHeight="1" x14ac:dyDescent="0.35">
      <c r="A8" s="4" t="s">
        <v>9</v>
      </c>
      <c r="B8" s="5">
        <v>0.22</v>
      </c>
      <c r="C8" s="6" t="s">
        <v>10</v>
      </c>
    </row>
    <row r="9" spans="1:8" ht="20" customHeight="1" x14ac:dyDescent="0.35">
      <c r="A9" s="7" t="s">
        <v>11</v>
      </c>
      <c r="B9" s="10">
        <v>20</v>
      </c>
      <c r="C9" s="9" t="s">
        <v>12</v>
      </c>
    </row>
    <row r="10" spans="1:8" ht="20" customHeight="1" x14ac:dyDescent="0.35">
      <c r="A10" s="4" t="s">
        <v>13</v>
      </c>
      <c r="B10" s="11">
        <v>15500</v>
      </c>
      <c r="C10" s="6" t="s">
        <v>14</v>
      </c>
    </row>
    <row r="11" spans="1:8" ht="20" customHeight="1" x14ac:dyDescent="0.35">
      <c r="A11" s="7" t="s">
        <v>15</v>
      </c>
      <c r="B11" s="12">
        <v>150000</v>
      </c>
      <c r="C11" s="9" t="s">
        <v>16</v>
      </c>
    </row>
    <row r="14" spans="1:8" x14ac:dyDescent="0.35">
      <c r="A14" s="1" t="s">
        <v>17</v>
      </c>
    </row>
    <row r="15" spans="1:8" ht="24" customHeight="1" x14ac:dyDescent="0.35">
      <c r="A15" s="2" t="s">
        <v>18</v>
      </c>
      <c r="B15" s="3" t="s">
        <v>19</v>
      </c>
      <c r="C15" s="2" t="s">
        <v>20</v>
      </c>
    </row>
    <row r="16" spans="1:8" ht="20" customHeight="1" x14ac:dyDescent="0.35">
      <c r="A16" s="4" t="s">
        <v>21</v>
      </c>
      <c r="B16" s="13" t="s">
        <v>22</v>
      </c>
      <c r="C16" s="6" t="s">
        <v>23</v>
      </c>
    </row>
    <row r="17" spans="1:3" ht="20" customHeight="1" x14ac:dyDescent="0.35">
      <c r="A17" s="7" t="s">
        <v>24</v>
      </c>
      <c r="B17" s="14" t="s">
        <v>25</v>
      </c>
      <c r="C17" s="9" t="s">
        <v>26</v>
      </c>
    </row>
    <row r="18" spans="1:3" ht="20" customHeight="1" x14ac:dyDescent="0.35">
      <c r="A18" s="4" t="s">
        <v>27</v>
      </c>
      <c r="B18" s="13" t="s">
        <v>28</v>
      </c>
      <c r="C18" s="6" t="s">
        <v>29</v>
      </c>
    </row>
    <row r="19" spans="1:3" ht="20" customHeight="1" x14ac:dyDescent="0.35">
      <c r="A19" s="7" t="s">
        <v>30</v>
      </c>
      <c r="B19" s="14" t="s">
        <v>31</v>
      </c>
      <c r="C19" s="9" t="s">
        <v>32</v>
      </c>
    </row>
    <row r="20" spans="1:3" ht="20" customHeight="1" x14ac:dyDescent="0.35">
      <c r="A20" s="4" t="s">
        <v>33</v>
      </c>
      <c r="B20" s="13" t="s">
        <v>34</v>
      </c>
      <c r="C20" s="6" t="s">
        <v>35</v>
      </c>
    </row>
    <row r="21" spans="1:3" ht="20" customHeight="1" x14ac:dyDescent="0.35">
      <c r="A21" s="7" t="s">
        <v>36</v>
      </c>
      <c r="B21" s="14" t="s">
        <v>37</v>
      </c>
      <c r="C21" s="9" t="s">
        <v>38</v>
      </c>
    </row>
    <row r="22" spans="1:3" ht="20" customHeight="1" x14ac:dyDescent="0.35">
      <c r="A22" s="4" t="s">
        <v>39</v>
      </c>
      <c r="B22" s="13" t="s">
        <v>40</v>
      </c>
      <c r="C22" s="6" t="s">
        <v>41</v>
      </c>
    </row>
    <row r="23" spans="1:3" ht="20" customHeight="1" x14ac:dyDescent="0.35">
      <c r="A23" s="7" t="s">
        <v>42</v>
      </c>
      <c r="B23" s="14" t="s">
        <v>43</v>
      </c>
      <c r="C23" s="9" t="s">
        <v>44</v>
      </c>
    </row>
  </sheetData>
  <mergeCells count="2">
    <mergeCell ref="A2:H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selection activeCell="G9" sqref="G9"/>
    </sheetView>
  </sheetViews>
  <sheetFormatPr defaultRowHeight="14.5" x14ac:dyDescent="0.35"/>
  <cols>
    <col min="1" max="1" width="26.90625" bestFit="1" customWidth="1"/>
    <col min="2" max="2" width="42.81640625" bestFit="1" customWidth="1"/>
    <col min="3" max="3" width="6.7265625" bestFit="1" customWidth="1"/>
    <col min="4" max="4" width="5.7265625" bestFit="1" customWidth="1"/>
    <col min="5" max="5" width="14.453125" bestFit="1" customWidth="1"/>
    <col min="6" max="6" width="17.1796875" bestFit="1" customWidth="1"/>
    <col min="7" max="7" width="60" bestFit="1" customWidth="1"/>
    <col min="8" max="8" width="6.1796875" bestFit="1" customWidth="1"/>
  </cols>
  <sheetData>
    <row r="1" spans="1:8" ht="26" customHeight="1" x14ac:dyDescent="0.35">
      <c r="A1" s="44" t="s">
        <v>45</v>
      </c>
      <c r="B1" s="45"/>
      <c r="C1" s="45"/>
      <c r="D1" s="45"/>
      <c r="E1" s="45"/>
      <c r="F1" s="45"/>
      <c r="G1" s="45"/>
      <c r="H1" s="45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5" spans="1:8" ht="24" customHeight="1" x14ac:dyDescent="0.35">
      <c r="A5" s="2" t="s">
        <v>46</v>
      </c>
      <c r="B5" s="2" t="s">
        <v>47</v>
      </c>
      <c r="C5" s="3" t="s">
        <v>48</v>
      </c>
      <c r="D5" s="3" t="s">
        <v>49</v>
      </c>
      <c r="E5" s="2" t="s">
        <v>50</v>
      </c>
      <c r="F5" s="2" t="s">
        <v>51</v>
      </c>
      <c r="G5" s="2" t="s">
        <v>52</v>
      </c>
      <c r="H5" s="3" t="s">
        <v>53</v>
      </c>
    </row>
    <row r="6" spans="1:8" ht="20" customHeight="1" x14ac:dyDescent="0.35">
      <c r="A6" s="4" t="s">
        <v>54</v>
      </c>
      <c r="B6" s="15" t="s">
        <v>55</v>
      </c>
      <c r="C6" s="16">
        <v>350000</v>
      </c>
      <c r="D6" s="17" t="s">
        <v>56</v>
      </c>
      <c r="E6" s="18">
        <v>150000</v>
      </c>
      <c r="F6" s="19">
        <f t="shared" ref="F6:F17" si="0">C6*E6</f>
        <v>52500000000</v>
      </c>
      <c r="G6" s="6" t="s">
        <v>57</v>
      </c>
      <c r="H6" s="20">
        <f t="shared" ref="H6:H17" si="1">F6/$F$18</f>
        <v>0.21042077412944285</v>
      </c>
    </row>
    <row r="7" spans="1:8" ht="20" customHeight="1" x14ac:dyDescent="0.35">
      <c r="A7" s="7" t="s">
        <v>58</v>
      </c>
      <c r="B7" s="21" t="s">
        <v>59</v>
      </c>
      <c r="C7" s="22">
        <v>180000</v>
      </c>
      <c r="D7" s="23" t="s">
        <v>56</v>
      </c>
      <c r="E7" s="24">
        <v>430556</v>
      </c>
      <c r="F7" s="25">
        <f t="shared" si="0"/>
        <v>77500080000</v>
      </c>
      <c r="G7" s="9" t="s">
        <v>60</v>
      </c>
      <c r="H7" s="26">
        <f t="shared" si="1"/>
        <v>0.31062146340369051</v>
      </c>
    </row>
    <row r="8" spans="1:8" ht="20" customHeight="1" x14ac:dyDescent="0.35">
      <c r="A8" s="4" t="s">
        <v>61</v>
      </c>
      <c r="B8" s="15" t="s">
        <v>62</v>
      </c>
      <c r="C8" s="16">
        <v>3</v>
      </c>
      <c r="D8" s="17" t="s">
        <v>63</v>
      </c>
      <c r="E8" s="18">
        <v>9000000000</v>
      </c>
      <c r="F8" s="19">
        <f t="shared" si="0"/>
        <v>27000000000</v>
      </c>
      <c r="G8" s="6" t="s">
        <v>64</v>
      </c>
      <c r="H8" s="20">
        <f t="shared" si="1"/>
        <v>0.10821639812371346</v>
      </c>
    </row>
    <row r="9" spans="1:8" ht="20" customHeight="1" x14ac:dyDescent="0.35">
      <c r="A9" s="7" t="s">
        <v>65</v>
      </c>
      <c r="B9" s="21" t="s">
        <v>66</v>
      </c>
      <c r="C9" s="22">
        <v>1</v>
      </c>
      <c r="D9" s="23" t="s">
        <v>63</v>
      </c>
      <c r="E9" s="24">
        <v>28000000000</v>
      </c>
      <c r="F9" s="25">
        <f t="shared" si="0"/>
        <v>28000000000</v>
      </c>
      <c r="G9" s="9" t="s">
        <v>67</v>
      </c>
      <c r="H9" s="26">
        <f t="shared" si="1"/>
        <v>0.11222441286903619</v>
      </c>
    </row>
    <row r="10" spans="1:8" ht="20" customHeight="1" x14ac:dyDescent="0.35">
      <c r="A10" s="4" t="s">
        <v>68</v>
      </c>
      <c r="B10" s="15" t="s">
        <v>69</v>
      </c>
      <c r="C10" s="16">
        <v>2</v>
      </c>
      <c r="D10" s="17" t="s">
        <v>70</v>
      </c>
      <c r="E10" s="18">
        <v>17500000000</v>
      </c>
      <c r="F10" s="19">
        <f t="shared" si="0"/>
        <v>35000000000</v>
      </c>
      <c r="G10" s="6" t="s">
        <v>71</v>
      </c>
      <c r="H10" s="20">
        <f t="shared" si="1"/>
        <v>0.14028051608629524</v>
      </c>
    </row>
    <row r="11" spans="1:8" ht="20" customHeight="1" x14ac:dyDescent="0.35">
      <c r="A11" s="7" t="s">
        <v>72</v>
      </c>
      <c r="B11" s="21" t="s">
        <v>73</v>
      </c>
      <c r="C11" s="22">
        <v>1</v>
      </c>
      <c r="D11" s="23" t="s">
        <v>74</v>
      </c>
      <c r="E11" s="24">
        <v>15000000000</v>
      </c>
      <c r="F11" s="25">
        <f t="shared" si="0"/>
        <v>15000000000</v>
      </c>
      <c r="G11" s="9" t="s">
        <v>75</v>
      </c>
      <c r="H11" s="26">
        <f t="shared" si="1"/>
        <v>6.0120221179840817E-2</v>
      </c>
    </row>
    <row r="12" spans="1:8" ht="20" customHeight="1" x14ac:dyDescent="0.35">
      <c r="A12" s="4" t="s">
        <v>76</v>
      </c>
      <c r="B12" s="15" t="s">
        <v>77</v>
      </c>
      <c r="C12" s="16">
        <v>300</v>
      </c>
      <c r="D12" s="17" t="s">
        <v>78</v>
      </c>
      <c r="E12" s="18">
        <v>21666667</v>
      </c>
      <c r="F12" s="19">
        <f t="shared" si="0"/>
        <v>6500000100</v>
      </c>
      <c r="G12" s="6" t="s">
        <v>79</v>
      </c>
      <c r="H12" s="20">
        <f t="shared" si="1"/>
        <v>2.605209624539916E-2</v>
      </c>
    </row>
    <row r="13" spans="1:8" ht="20" customHeight="1" x14ac:dyDescent="0.35">
      <c r="A13" s="7" t="s">
        <v>80</v>
      </c>
      <c r="B13" s="21" t="s">
        <v>81</v>
      </c>
      <c r="C13" s="22">
        <v>2</v>
      </c>
      <c r="D13" s="23" t="s">
        <v>63</v>
      </c>
      <c r="E13" s="24">
        <v>850000000</v>
      </c>
      <c r="F13" s="25">
        <f t="shared" si="0"/>
        <v>1700000000</v>
      </c>
      <c r="G13" s="9" t="s">
        <v>82</v>
      </c>
      <c r="H13" s="26">
        <f t="shared" si="1"/>
        <v>6.8136250670486256E-3</v>
      </c>
    </row>
    <row r="14" spans="1:8" ht="20" customHeight="1" x14ac:dyDescent="0.35">
      <c r="A14" s="4" t="s">
        <v>83</v>
      </c>
      <c r="B14" s="15" t="s">
        <v>84</v>
      </c>
      <c r="C14" s="16">
        <v>4</v>
      </c>
      <c r="D14" s="17" t="s">
        <v>85</v>
      </c>
      <c r="E14" s="18">
        <v>450000000</v>
      </c>
      <c r="F14" s="19">
        <f t="shared" si="0"/>
        <v>1800000000</v>
      </c>
      <c r="G14" s="6" t="s">
        <v>86</v>
      </c>
      <c r="H14" s="20">
        <f t="shared" si="1"/>
        <v>7.2144265415808977E-3</v>
      </c>
    </row>
    <row r="15" spans="1:8" ht="20" customHeight="1" x14ac:dyDescent="0.35">
      <c r="A15" s="7" t="s">
        <v>87</v>
      </c>
      <c r="B15" s="21" t="s">
        <v>88</v>
      </c>
      <c r="C15" s="22">
        <v>4</v>
      </c>
      <c r="D15" s="23" t="s">
        <v>85</v>
      </c>
      <c r="E15" s="24">
        <v>250000000</v>
      </c>
      <c r="F15" s="25">
        <f t="shared" si="0"/>
        <v>1000000000</v>
      </c>
      <c r="G15" s="9" t="s">
        <v>89</v>
      </c>
      <c r="H15" s="26">
        <f t="shared" si="1"/>
        <v>4.0080147453227209E-3</v>
      </c>
    </row>
    <row r="16" spans="1:8" ht="20" customHeight="1" x14ac:dyDescent="0.35">
      <c r="A16" s="4" t="s">
        <v>90</v>
      </c>
      <c r="B16" s="15" t="s">
        <v>91</v>
      </c>
      <c r="C16" s="16">
        <v>1</v>
      </c>
      <c r="D16" s="17" t="s">
        <v>74</v>
      </c>
      <c r="E16" s="18">
        <v>1500000000</v>
      </c>
      <c r="F16" s="19">
        <f t="shared" si="0"/>
        <v>1500000000</v>
      </c>
      <c r="G16" s="6" t="s">
        <v>92</v>
      </c>
      <c r="H16" s="20">
        <f t="shared" si="1"/>
        <v>6.0120221179840814E-3</v>
      </c>
    </row>
    <row r="17" spans="1:8" ht="20" customHeight="1" x14ac:dyDescent="0.35">
      <c r="A17" s="7" t="s">
        <v>93</v>
      </c>
      <c r="B17" s="21" t="s">
        <v>94</v>
      </c>
      <c r="C17" s="22">
        <v>1</v>
      </c>
      <c r="D17" s="23" t="s">
        <v>74</v>
      </c>
      <c r="E17" s="24">
        <v>2000000000</v>
      </c>
      <c r="F17" s="25">
        <f t="shared" si="0"/>
        <v>2000000000</v>
      </c>
      <c r="G17" s="9" t="s">
        <v>95</v>
      </c>
      <c r="H17" s="26">
        <f t="shared" si="1"/>
        <v>8.0160294906454418E-3</v>
      </c>
    </row>
    <row r="18" spans="1:8" ht="24" customHeight="1" x14ac:dyDescent="0.35">
      <c r="A18" s="39" t="s">
        <v>96</v>
      </c>
      <c r="B18" s="40"/>
      <c r="C18" s="40"/>
      <c r="D18" s="40"/>
      <c r="E18" s="40"/>
      <c r="F18" s="28">
        <f>SUM(F6:F17)</f>
        <v>249500080100</v>
      </c>
      <c r="G18" s="27"/>
      <c r="H18" s="29">
        <f>SUM(H6:H17)</f>
        <v>1</v>
      </c>
    </row>
  </sheetData>
  <mergeCells count="3">
    <mergeCell ref="A2:H2"/>
    <mergeCell ref="A18:E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topLeftCell="A3" workbookViewId="0">
      <selection activeCell="B16" sqref="B16"/>
    </sheetView>
  </sheetViews>
  <sheetFormatPr defaultRowHeight="14.5" x14ac:dyDescent="0.35"/>
  <cols>
    <col min="1" max="1" width="35" customWidth="1"/>
    <col min="2" max="2" width="52" customWidth="1"/>
    <col min="3" max="4" width="24" customWidth="1"/>
    <col min="5" max="5" width="52" customWidth="1"/>
    <col min="6" max="6" width="11" customWidth="1"/>
  </cols>
  <sheetData>
    <row r="1" spans="1:8" ht="26" customHeight="1" x14ac:dyDescent="0.35">
      <c r="A1" s="44" t="s">
        <v>97</v>
      </c>
      <c r="B1" s="44"/>
      <c r="C1" s="44"/>
      <c r="D1" s="44"/>
      <c r="E1" s="44"/>
      <c r="F1" s="44"/>
      <c r="G1" s="47"/>
      <c r="H1" s="47"/>
    </row>
    <row r="2" spans="1:8" ht="18" customHeight="1" x14ac:dyDescent="0.35">
      <c r="A2" s="48"/>
      <c r="B2" s="47"/>
      <c r="C2" s="47"/>
      <c r="D2" s="47"/>
      <c r="E2" s="47"/>
      <c r="F2" s="47"/>
      <c r="G2" s="47"/>
      <c r="H2" s="47"/>
    </row>
    <row r="3" spans="1:8" ht="8" customHeight="1" x14ac:dyDescent="0.35"/>
    <row r="5" spans="1:8" ht="24" customHeight="1" x14ac:dyDescent="0.35">
      <c r="A5" s="2" t="s">
        <v>98</v>
      </c>
      <c r="B5" s="2" t="s">
        <v>99</v>
      </c>
      <c r="C5" s="2" t="s">
        <v>100</v>
      </c>
      <c r="D5" s="2" t="s">
        <v>101</v>
      </c>
      <c r="E5" s="2" t="s">
        <v>52</v>
      </c>
      <c r="F5" s="3" t="s">
        <v>53</v>
      </c>
    </row>
    <row r="6" spans="1:8" ht="20" customHeight="1" x14ac:dyDescent="0.35">
      <c r="A6" s="4" t="s">
        <v>102</v>
      </c>
      <c r="B6" s="15" t="s">
        <v>103</v>
      </c>
      <c r="C6" s="18">
        <v>401760000</v>
      </c>
      <c r="D6" s="19">
        <f t="shared" ref="D6:D12" si="0">C6*12</f>
        <v>4821120000</v>
      </c>
      <c r="E6" s="6" t="s">
        <v>104</v>
      </c>
      <c r="F6" s="20">
        <f t="shared" ref="F6:F12" si="1">D6/$D$13</f>
        <v>0.19448532259313764</v>
      </c>
    </row>
    <row r="7" spans="1:8" ht="20" customHeight="1" x14ac:dyDescent="0.35">
      <c r="A7" s="7" t="s">
        <v>105</v>
      </c>
      <c r="B7" s="21" t="s">
        <v>106</v>
      </c>
      <c r="C7" s="24">
        <v>385000000</v>
      </c>
      <c r="D7" s="25">
        <f t="shared" si="0"/>
        <v>4620000000</v>
      </c>
      <c r="E7" s="9" t="s">
        <v>107</v>
      </c>
      <c r="F7" s="26">
        <f t="shared" si="1"/>
        <v>0.18637208581829448</v>
      </c>
    </row>
    <row r="8" spans="1:8" ht="20" customHeight="1" x14ac:dyDescent="0.35">
      <c r="A8" s="4" t="s">
        <v>108</v>
      </c>
      <c r="B8" s="15" t="s">
        <v>109</v>
      </c>
      <c r="C8" s="18">
        <v>574000000</v>
      </c>
      <c r="D8" s="19">
        <f t="shared" si="0"/>
        <v>6888000000</v>
      </c>
      <c r="E8" s="6" t="s">
        <v>110</v>
      </c>
      <c r="F8" s="20">
        <f t="shared" si="1"/>
        <v>0.27786383703818451</v>
      </c>
    </row>
    <row r="9" spans="1:8" ht="20" customHeight="1" x14ac:dyDescent="0.35">
      <c r="A9" s="7" t="s">
        <v>111</v>
      </c>
      <c r="B9" s="21" t="s">
        <v>112</v>
      </c>
      <c r="C9" s="24">
        <v>450000000</v>
      </c>
      <c r="D9" s="25">
        <f t="shared" si="0"/>
        <v>5400000000</v>
      </c>
      <c r="E9" s="9" t="s">
        <v>113</v>
      </c>
      <c r="F9" s="26">
        <f t="shared" si="1"/>
        <v>0.21783750290450005</v>
      </c>
    </row>
    <row r="10" spans="1:8" ht="20" customHeight="1" x14ac:dyDescent="0.35">
      <c r="A10" s="4" t="s">
        <v>114</v>
      </c>
      <c r="B10" s="15" t="s">
        <v>115</v>
      </c>
      <c r="C10" s="18">
        <v>180000000</v>
      </c>
      <c r="D10" s="19">
        <f t="shared" si="0"/>
        <v>2160000000</v>
      </c>
      <c r="E10" s="6" t="s">
        <v>116</v>
      </c>
      <c r="F10" s="20">
        <f t="shared" si="1"/>
        <v>8.7135001161800021E-2</v>
      </c>
    </row>
    <row r="11" spans="1:8" ht="20" customHeight="1" x14ac:dyDescent="0.35">
      <c r="A11" s="7" t="s">
        <v>117</v>
      </c>
      <c r="B11" s="21" t="s">
        <v>118</v>
      </c>
      <c r="C11" s="24">
        <v>50000000</v>
      </c>
      <c r="D11" s="25">
        <f t="shared" si="0"/>
        <v>600000000</v>
      </c>
      <c r="E11" s="9" t="s">
        <v>119</v>
      </c>
      <c r="F11" s="26">
        <f t="shared" si="1"/>
        <v>2.4204166989388893E-2</v>
      </c>
    </row>
    <row r="12" spans="1:8" ht="20" customHeight="1" x14ac:dyDescent="0.35">
      <c r="A12" s="4" t="s">
        <v>120</v>
      </c>
      <c r="B12" s="15" t="s">
        <v>121</v>
      </c>
      <c r="C12" s="18">
        <v>25000000</v>
      </c>
      <c r="D12" s="19">
        <f t="shared" si="0"/>
        <v>300000000</v>
      </c>
      <c r="E12" s="6" t="s">
        <v>122</v>
      </c>
      <c r="F12" s="20">
        <f t="shared" si="1"/>
        <v>1.2102083494694446E-2</v>
      </c>
    </row>
    <row r="13" spans="1:8" ht="24" customHeight="1" x14ac:dyDescent="0.35">
      <c r="A13" s="39" t="s">
        <v>123</v>
      </c>
      <c r="B13" s="40"/>
      <c r="C13" s="30">
        <f>SUM(C6:C12)</f>
        <v>2065760000</v>
      </c>
      <c r="D13" s="28">
        <f>SUM(D6:D12)</f>
        <v>24789120000</v>
      </c>
      <c r="E13" s="27"/>
      <c r="F13" s="29">
        <f>SUM(F6:F12)</f>
        <v>1</v>
      </c>
    </row>
  </sheetData>
  <mergeCells count="2">
    <mergeCell ref="A13:B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topLeftCell="A8" workbookViewId="0">
      <selection activeCell="E11" sqref="E11"/>
    </sheetView>
  </sheetViews>
  <sheetFormatPr defaultRowHeight="14.5" x14ac:dyDescent="0.35"/>
  <cols>
    <col min="1" max="1" width="24.08984375" bestFit="1" customWidth="1"/>
    <col min="2" max="2" width="36.6328125" bestFit="1" customWidth="1"/>
    <col min="3" max="3" width="12.90625" bestFit="1" customWidth="1"/>
    <col min="4" max="4" width="7.453125" bestFit="1" customWidth="1"/>
    <col min="5" max="5" width="13.453125" bestFit="1" customWidth="1"/>
    <col min="6" max="6" width="22.90625" bestFit="1" customWidth="1"/>
    <col min="7" max="7" width="57.453125" bestFit="1" customWidth="1"/>
    <col min="8" max="8" width="9.90625" bestFit="1" customWidth="1"/>
  </cols>
  <sheetData>
    <row r="1" spans="1:8" ht="26" customHeight="1" x14ac:dyDescent="0.35">
      <c r="A1" s="44" t="s">
        <v>124</v>
      </c>
      <c r="B1" s="44"/>
      <c r="C1" s="44"/>
      <c r="D1" s="44"/>
      <c r="E1" s="44"/>
      <c r="F1" s="44"/>
      <c r="G1" s="44"/>
      <c r="H1" s="44"/>
    </row>
    <row r="2" spans="1:8" ht="18" customHeight="1" x14ac:dyDescent="0.35">
      <c r="A2" s="44"/>
      <c r="B2" s="44"/>
      <c r="C2" s="44"/>
      <c r="D2" s="44"/>
      <c r="E2" s="44"/>
      <c r="F2" s="44"/>
      <c r="G2" s="44"/>
      <c r="H2" s="44"/>
    </row>
    <row r="3" spans="1:8" ht="8" customHeight="1" x14ac:dyDescent="0.35"/>
    <row r="5" spans="1:8" ht="24" customHeight="1" x14ac:dyDescent="0.35">
      <c r="A5" s="2" t="s">
        <v>125</v>
      </c>
      <c r="B5" s="2" t="s">
        <v>126</v>
      </c>
      <c r="C5" s="3" t="s">
        <v>127</v>
      </c>
      <c r="D5" s="3" t="s">
        <v>49</v>
      </c>
      <c r="E5" s="2" t="s">
        <v>128</v>
      </c>
      <c r="F5" s="2" t="s">
        <v>129</v>
      </c>
      <c r="G5" s="2" t="s">
        <v>130</v>
      </c>
      <c r="H5" s="3" t="s">
        <v>131</v>
      </c>
    </row>
    <row r="6" spans="1:8" ht="20" customHeight="1" x14ac:dyDescent="0.35">
      <c r="A6" s="4" t="s">
        <v>132</v>
      </c>
      <c r="B6" s="15" t="s">
        <v>133</v>
      </c>
      <c r="C6" s="16">
        <v>90000</v>
      </c>
      <c r="D6" s="17" t="s">
        <v>134</v>
      </c>
      <c r="E6" s="18">
        <v>175000</v>
      </c>
      <c r="F6" s="19">
        <f t="shared" ref="F6:F15" si="0">C6*E6</f>
        <v>15750000000</v>
      </c>
      <c r="G6" s="6" t="s">
        <v>135</v>
      </c>
      <c r="H6" s="20">
        <f t="shared" ref="H6:H15" si="1">F6/$F$16</f>
        <v>0.20615183246073299</v>
      </c>
    </row>
    <row r="7" spans="1:8" ht="20" customHeight="1" x14ac:dyDescent="0.35">
      <c r="A7" s="7" t="s">
        <v>136</v>
      </c>
      <c r="B7" s="21" t="s">
        <v>137</v>
      </c>
      <c r="C7" s="22">
        <v>60000</v>
      </c>
      <c r="D7" s="23" t="s">
        <v>134</v>
      </c>
      <c r="E7" s="24">
        <v>275000</v>
      </c>
      <c r="F7" s="25">
        <f t="shared" si="0"/>
        <v>16500000000</v>
      </c>
      <c r="G7" s="9" t="s">
        <v>138</v>
      </c>
      <c r="H7" s="26">
        <f t="shared" si="1"/>
        <v>0.21596858638743455</v>
      </c>
    </row>
    <row r="8" spans="1:8" ht="20" customHeight="1" x14ac:dyDescent="0.35">
      <c r="A8" s="4" t="s">
        <v>139</v>
      </c>
      <c r="B8" s="15" t="s">
        <v>140</v>
      </c>
      <c r="C8" s="16">
        <v>160000</v>
      </c>
      <c r="D8" s="17" t="s">
        <v>141</v>
      </c>
      <c r="E8" s="18">
        <v>45000</v>
      </c>
      <c r="F8" s="19">
        <f t="shared" si="0"/>
        <v>7200000000</v>
      </c>
      <c r="G8" s="6" t="s">
        <v>142</v>
      </c>
      <c r="H8" s="20">
        <f t="shared" si="1"/>
        <v>9.4240837696335081E-2</v>
      </c>
    </row>
    <row r="9" spans="1:8" ht="20" customHeight="1" x14ac:dyDescent="0.35">
      <c r="A9" s="7" t="s">
        <v>143</v>
      </c>
      <c r="B9" s="21" t="s">
        <v>144</v>
      </c>
      <c r="C9" s="22">
        <v>40000</v>
      </c>
      <c r="D9" s="23" t="s">
        <v>141</v>
      </c>
      <c r="E9" s="24">
        <v>90000</v>
      </c>
      <c r="F9" s="25">
        <f t="shared" si="0"/>
        <v>3600000000</v>
      </c>
      <c r="G9" s="9" t="s">
        <v>145</v>
      </c>
      <c r="H9" s="26">
        <f t="shared" si="1"/>
        <v>4.712041884816754E-2</v>
      </c>
    </row>
    <row r="10" spans="1:8" ht="20" customHeight="1" x14ac:dyDescent="0.35">
      <c r="A10" s="4" t="s">
        <v>146</v>
      </c>
      <c r="B10" s="15" t="s">
        <v>147</v>
      </c>
      <c r="C10" s="16">
        <v>6000</v>
      </c>
      <c r="D10" s="17" t="s">
        <v>148</v>
      </c>
      <c r="E10" s="18">
        <v>1500000</v>
      </c>
      <c r="F10" s="19">
        <f t="shared" si="0"/>
        <v>9000000000</v>
      </c>
      <c r="G10" s="6" t="s">
        <v>149</v>
      </c>
      <c r="H10" s="20">
        <f t="shared" si="1"/>
        <v>0.11780104712041885</v>
      </c>
    </row>
    <row r="11" spans="1:8" ht="20" customHeight="1" x14ac:dyDescent="0.35">
      <c r="A11" s="7" t="s">
        <v>150</v>
      </c>
      <c r="B11" s="21" t="s">
        <v>151</v>
      </c>
      <c r="C11" s="22">
        <v>18000</v>
      </c>
      <c r="D11" s="23" t="s">
        <v>134</v>
      </c>
      <c r="E11" s="24">
        <v>450000</v>
      </c>
      <c r="F11" s="25">
        <f t="shared" si="0"/>
        <v>8100000000</v>
      </c>
      <c r="G11" s="9" t="s">
        <v>152</v>
      </c>
      <c r="H11" s="26">
        <f t="shared" si="1"/>
        <v>0.10602094240837696</v>
      </c>
    </row>
    <row r="12" spans="1:8" ht="20" customHeight="1" x14ac:dyDescent="0.35">
      <c r="A12" s="4" t="s">
        <v>153</v>
      </c>
      <c r="B12" s="15" t="s">
        <v>154</v>
      </c>
      <c r="C12" s="16">
        <v>25000</v>
      </c>
      <c r="D12" s="17" t="s">
        <v>155</v>
      </c>
      <c r="E12" s="18">
        <v>250000</v>
      </c>
      <c r="F12" s="19">
        <f t="shared" si="0"/>
        <v>6250000000</v>
      </c>
      <c r="G12" s="6" t="s">
        <v>156</v>
      </c>
      <c r="H12" s="20">
        <f t="shared" si="1"/>
        <v>8.1806282722513085E-2</v>
      </c>
    </row>
    <row r="13" spans="1:8" ht="20" customHeight="1" x14ac:dyDescent="0.35">
      <c r="A13" s="7" t="s">
        <v>157</v>
      </c>
      <c r="B13" s="21" t="s">
        <v>158</v>
      </c>
      <c r="C13" s="22">
        <v>110000</v>
      </c>
      <c r="D13" s="23" t="s">
        <v>159</v>
      </c>
      <c r="E13" s="24">
        <v>50000</v>
      </c>
      <c r="F13" s="25">
        <f t="shared" si="0"/>
        <v>5500000000</v>
      </c>
      <c r="G13" s="9" t="s">
        <v>160</v>
      </c>
      <c r="H13" s="26">
        <f t="shared" si="1"/>
        <v>7.1989528795811525E-2</v>
      </c>
    </row>
    <row r="14" spans="1:8" ht="20" customHeight="1" x14ac:dyDescent="0.35">
      <c r="A14" s="4" t="s">
        <v>161</v>
      </c>
      <c r="B14" s="15" t="s">
        <v>162</v>
      </c>
      <c r="C14" s="16">
        <v>7500</v>
      </c>
      <c r="D14" s="17" t="s">
        <v>134</v>
      </c>
      <c r="E14" s="18">
        <v>350000</v>
      </c>
      <c r="F14" s="19">
        <f t="shared" si="0"/>
        <v>2625000000</v>
      </c>
      <c r="G14" s="6" t="s">
        <v>163</v>
      </c>
      <c r="H14" s="20">
        <f t="shared" si="1"/>
        <v>3.4358638743455495E-2</v>
      </c>
    </row>
    <row r="15" spans="1:8" ht="20" customHeight="1" x14ac:dyDescent="0.35">
      <c r="A15" s="7" t="s">
        <v>164</v>
      </c>
      <c r="B15" s="21" t="s">
        <v>165</v>
      </c>
      <c r="C15" s="22">
        <v>125000</v>
      </c>
      <c r="D15" s="23" t="s">
        <v>166</v>
      </c>
      <c r="E15" s="24">
        <v>15000</v>
      </c>
      <c r="F15" s="25">
        <f t="shared" si="0"/>
        <v>1875000000</v>
      </c>
      <c r="G15" s="9" t="s">
        <v>167</v>
      </c>
      <c r="H15" s="26">
        <f t="shared" si="1"/>
        <v>2.4541884816753928E-2</v>
      </c>
    </row>
    <row r="16" spans="1:8" ht="24" customHeight="1" x14ac:dyDescent="0.35">
      <c r="A16" s="39" t="s">
        <v>168</v>
      </c>
      <c r="B16" s="40"/>
      <c r="C16" s="40"/>
      <c r="D16" s="40"/>
      <c r="E16" s="27"/>
      <c r="F16" s="28">
        <f>SUM(F6:F15)</f>
        <v>76400000000</v>
      </c>
      <c r="G16" s="27"/>
      <c r="H16" s="29">
        <f>SUM(H6:H15)</f>
        <v>1</v>
      </c>
    </row>
  </sheetData>
  <mergeCells count="2">
    <mergeCell ref="A16:D16"/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1" sqref="F11"/>
    </sheetView>
  </sheetViews>
  <sheetFormatPr defaultRowHeight="14.5" x14ac:dyDescent="0.35"/>
  <cols>
    <col min="1" max="1" width="32.81640625" bestFit="1" customWidth="1"/>
    <col min="2" max="2" width="16" bestFit="1" customWidth="1"/>
    <col min="3" max="3" width="55" bestFit="1" customWidth="1"/>
    <col min="4" max="5" width="16" bestFit="1" customWidth="1"/>
    <col min="6" max="7" width="15.08984375" bestFit="1" customWidth="1"/>
    <col min="8" max="9" width="14.54296875" bestFit="1" customWidth="1"/>
    <col min="10" max="12" width="15.453125" bestFit="1" customWidth="1"/>
  </cols>
  <sheetData>
    <row r="1" spans="1:12" ht="26" customHeight="1" x14ac:dyDescent="0.35">
      <c r="A1" s="44" t="s">
        <v>169</v>
      </c>
      <c r="B1" s="45"/>
      <c r="C1" s="45"/>
      <c r="D1" s="45"/>
      <c r="E1" s="45"/>
      <c r="F1" s="45"/>
      <c r="G1" s="45"/>
      <c r="H1" s="45"/>
      <c r="I1" s="46"/>
      <c r="J1" s="46"/>
      <c r="K1" s="46"/>
      <c r="L1" s="46"/>
    </row>
    <row r="2" spans="1:12" ht="18" customHeight="1" x14ac:dyDescent="0.35">
      <c r="A2" s="49"/>
      <c r="B2" s="45"/>
      <c r="C2" s="45"/>
      <c r="D2" s="45"/>
      <c r="E2" s="45"/>
      <c r="F2" s="45"/>
      <c r="G2" s="45"/>
      <c r="H2" s="45"/>
      <c r="I2" s="46"/>
      <c r="J2" s="46"/>
      <c r="K2" s="46"/>
      <c r="L2" s="46"/>
    </row>
    <row r="3" spans="1:12" ht="8" customHeight="1" x14ac:dyDescent="0.35"/>
    <row r="5" spans="1:12" ht="24" customHeight="1" x14ac:dyDescent="0.35">
      <c r="A5" s="31" t="s">
        <v>170</v>
      </c>
      <c r="B5" s="32" t="s">
        <v>171</v>
      </c>
      <c r="C5" s="32" t="s">
        <v>172</v>
      </c>
      <c r="D5" s="32" t="s">
        <v>173</v>
      </c>
      <c r="E5" s="32" t="s">
        <v>174</v>
      </c>
      <c r="F5" s="32" t="s">
        <v>175</v>
      </c>
      <c r="G5" s="32" t="s">
        <v>176</v>
      </c>
      <c r="H5" s="32" t="s">
        <v>177</v>
      </c>
      <c r="I5" s="32" t="s">
        <v>178</v>
      </c>
      <c r="J5" s="32" t="s">
        <v>179</v>
      </c>
      <c r="K5" s="32" t="s">
        <v>180</v>
      </c>
      <c r="L5" s="32" t="s">
        <v>181</v>
      </c>
    </row>
    <row r="6" spans="1:12" ht="20" customHeight="1" x14ac:dyDescent="0.35">
      <c r="A6" s="21" t="s">
        <v>182</v>
      </c>
      <c r="B6" s="16">
        <v>0</v>
      </c>
      <c r="C6" s="16">
        <v>120000</v>
      </c>
      <c r="D6" s="16">
        <v>135000</v>
      </c>
      <c r="E6" s="16">
        <v>150000</v>
      </c>
      <c r="F6" s="16">
        <v>155000</v>
      </c>
      <c r="G6" s="16">
        <v>160000</v>
      </c>
      <c r="H6" s="16">
        <v>165000</v>
      </c>
      <c r="I6" s="16">
        <v>170000</v>
      </c>
      <c r="J6" s="16">
        <v>175000</v>
      </c>
      <c r="K6" s="16">
        <v>180000</v>
      </c>
      <c r="L6" s="16">
        <v>185000</v>
      </c>
    </row>
    <row r="7" spans="1:12" ht="20" customHeight="1" x14ac:dyDescent="0.35">
      <c r="A7" s="7" t="s">
        <v>183</v>
      </c>
      <c r="B7" s="25">
        <v>0</v>
      </c>
      <c r="C7" s="25">
        <f>'Model Pendapatan'!$F$16*(C6/150000)</f>
        <v>61120000000</v>
      </c>
      <c r="D7" s="25">
        <f>'Model Pendapatan'!$F$16*(D6/150000)</f>
        <v>68760000000</v>
      </c>
      <c r="E7" s="25">
        <f>'Model Pendapatan'!$F$16*(E6/150000)</f>
        <v>76400000000</v>
      </c>
      <c r="F7" s="25">
        <f>'Model Pendapatan'!$F$16*(F6/150000)</f>
        <v>78946666666.666672</v>
      </c>
      <c r="G7" s="25">
        <f>'Model Pendapatan'!$F$16*(G6/150000)</f>
        <v>81493333333.333328</v>
      </c>
      <c r="H7" s="25">
        <f>'Model Pendapatan'!$F$16*(H6/150000)</f>
        <v>84040000000</v>
      </c>
      <c r="I7" s="25">
        <f>'Model Pendapatan'!$F$16*(I6/150000)</f>
        <v>86586666666.666672</v>
      </c>
      <c r="J7" s="25">
        <f>'Model Pendapatan'!$F$16*(J6/150000)</f>
        <v>89133333333.333344</v>
      </c>
      <c r="K7" s="25">
        <f>'Model Pendapatan'!$F$16*(K6/150000)</f>
        <v>91680000000</v>
      </c>
      <c r="L7" s="25">
        <f>'Model Pendapatan'!$F$16*(L6/150000)</f>
        <v>94226666666.666672</v>
      </c>
    </row>
    <row r="8" spans="1:12" ht="20" customHeight="1" x14ac:dyDescent="0.35">
      <c r="A8" s="21" t="s">
        <v>184</v>
      </c>
      <c r="B8" s="18">
        <v>0</v>
      </c>
      <c r="C8" s="18">
        <f>'OPEX Detail'!$D$13*(0.85+0.15*(C6/150000))</f>
        <v>24045446400</v>
      </c>
      <c r="D8" s="18">
        <f>'OPEX Detail'!$D$13*(0.85+0.15*(D6/150000))</f>
        <v>24417283200</v>
      </c>
      <c r="E8" s="18">
        <f>'OPEX Detail'!$D$13*(0.85+0.15*(E6/150000))</f>
        <v>24789120000</v>
      </c>
      <c r="F8" s="18">
        <f>'OPEX Detail'!$D$13*(0.85+0.15*(F6/150000))</f>
        <v>24913065599.999996</v>
      </c>
      <c r="G8" s="18">
        <f>'OPEX Detail'!$D$13*(0.85+0.15*(G6/150000))</f>
        <v>25037011200</v>
      </c>
      <c r="H8" s="18">
        <f>'OPEX Detail'!$D$13*(0.85+0.15*(H6/150000))</f>
        <v>25160956799.999996</v>
      </c>
      <c r="I8" s="18">
        <f>'OPEX Detail'!$D$13*(0.85+0.15*(I6/150000))</f>
        <v>25284902400</v>
      </c>
      <c r="J8" s="18">
        <f>'OPEX Detail'!$D$13*(0.85+0.15*(J6/150000))</f>
        <v>25408847999.999996</v>
      </c>
      <c r="K8" s="18">
        <f>'OPEX Detail'!$D$13*(0.85+0.15*(K6/150000))</f>
        <v>25532793600</v>
      </c>
      <c r="L8" s="18">
        <f>'OPEX Detail'!$D$13*(0.85+0.15*(L6/150000))</f>
        <v>25656739199.999996</v>
      </c>
    </row>
    <row r="9" spans="1:12" ht="20" customHeight="1" x14ac:dyDescent="0.35">
      <c r="A9" s="7" t="s">
        <v>185</v>
      </c>
      <c r="B9" s="25">
        <v>0</v>
      </c>
      <c r="C9" s="25">
        <f t="shared" ref="C9:L9" si="0">C7-C8</f>
        <v>37074553600</v>
      </c>
      <c r="D9" s="25">
        <f t="shared" si="0"/>
        <v>44342716800</v>
      </c>
      <c r="E9" s="25">
        <f t="shared" si="0"/>
        <v>51610880000</v>
      </c>
      <c r="F9" s="25">
        <f t="shared" si="0"/>
        <v>54033601066.666672</v>
      </c>
      <c r="G9" s="25">
        <f t="shared" si="0"/>
        <v>56456322133.333328</v>
      </c>
      <c r="H9" s="25">
        <f t="shared" si="0"/>
        <v>58879043200</v>
      </c>
      <c r="I9" s="25">
        <f t="shared" si="0"/>
        <v>61301764266.666672</v>
      </c>
      <c r="J9" s="25">
        <f t="shared" si="0"/>
        <v>63724485333.333344</v>
      </c>
      <c r="K9" s="25">
        <f t="shared" si="0"/>
        <v>66147206400</v>
      </c>
      <c r="L9" s="25">
        <f t="shared" si="0"/>
        <v>68569927466.666672</v>
      </c>
    </row>
    <row r="10" spans="1:12" ht="20" customHeight="1" x14ac:dyDescent="0.35">
      <c r="A10" s="21" t="s">
        <v>186</v>
      </c>
      <c r="B10" s="18">
        <v>0</v>
      </c>
      <c r="C10" s="18">
        <f>'CAPEX Detail'!$F$18/20</f>
        <v>12475004005</v>
      </c>
      <c r="D10" s="18">
        <f>'CAPEX Detail'!$F$18/20</f>
        <v>12475004005</v>
      </c>
      <c r="E10" s="18">
        <f>'CAPEX Detail'!$F$18/20</f>
        <v>12475004005</v>
      </c>
      <c r="F10" s="18">
        <f>'CAPEX Detail'!$F$18/20</f>
        <v>12475004005</v>
      </c>
      <c r="G10" s="18">
        <f>'CAPEX Detail'!$F$18/20</f>
        <v>12475004005</v>
      </c>
      <c r="H10" s="18">
        <f>'CAPEX Detail'!$F$18/20</f>
        <v>12475004005</v>
      </c>
      <c r="I10" s="18">
        <f>'CAPEX Detail'!$F$18/20</f>
        <v>12475004005</v>
      </c>
      <c r="J10" s="18">
        <f>'CAPEX Detail'!$F$18/20</f>
        <v>12475004005</v>
      </c>
      <c r="K10" s="18">
        <f>'CAPEX Detail'!$F$18/20</f>
        <v>12475004005</v>
      </c>
      <c r="L10" s="18">
        <f>'CAPEX Detail'!$F$18/20</f>
        <v>12475004005</v>
      </c>
    </row>
    <row r="11" spans="1:12" ht="20" customHeight="1" x14ac:dyDescent="0.35">
      <c r="A11" s="21" t="s">
        <v>187</v>
      </c>
      <c r="B11" s="24">
        <v>0</v>
      </c>
      <c r="C11" s="24">
        <f t="shared" ref="C11:L11" si="1">C9-C10</f>
        <v>24599549595</v>
      </c>
      <c r="D11" s="24">
        <f t="shared" si="1"/>
        <v>31867712795</v>
      </c>
      <c r="E11" s="24">
        <f t="shared" si="1"/>
        <v>39135875995</v>
      </c>
      <c r="F11" s="24">
        <f t="shared" si="1"/>
        <v>41558597061.666672</v>
      </c>
      <c r="G11" s="24">
        <f t="shared" si="1"/>
        <v>43981318128.333328</v>
      </c>
      <c r="H11" s="24">
        <f t="shared" si="1"/>
        <v>46404039195</v>
      </c>
      <c r="I11" s="24">
        <f t="shared" si="1"/>
        <v>48826760261.666672</v>
      </c>
      <c r="J11" s="24">
        <f t="shared" si="1"/>
        <v>51249481328.333344</v>
      </c>
      <c r="K11" s="24">
        <f t="shared" si="1"/>
        <v>53672202395</v>
      </c>
      <c r="L11" s="24">
        <f t="shared" si="1"/>
        <v>56094923461.666672</v>
      </c>
    </row>
    <row r="12" spans="1:12" ht="20" customHeight="1" x14ac:dyDescent="0.35">
      <c r="A12" s="21" t="s">
        <v>188</v>
      </c>
      <c r="B12" s="18">
        <v>0</v>
      </c>
      <c r="C12" s="18">
        <f>IF(C11&gt;0, C11*'Asumsi &amp; Sumber Data'!$B$8, 0)</f>
        <v>5411900910.8999996</v>
      </c>
      <c r="D12" s="18">
        <f>IF(D11&gt;0, D11*'Asumsi &amp; Sumber Data'!$B$8, 0)</f>
        <v>7010896814.8999996</v>
      </c>
      <c r="E12" s="18">
        <f>IF(E11&gt;0, E11*'Asumsi &amp; Sumber Data'!$B$8, 0)</f>
        <v>8609892718.8999996</v>
      </c>
      <c r="F12" s="18">
        <f>IF(F11&gt;0, F11*'Asumsi &amp; Sumber Data'!$B$8, 0)</f>
        <v>9142891353.5666676</v>
      </c>
      <c r="G12" s="18">
        <f>IF(G11&gt;0, G11*'Asumsi &amp; Sumber Data'!$B$8, 0)</f>
        <v>9675889988.2333317</v>
      </c>
      <c r="H12" s="18">
        <f>IF(H11&gt;0, H11*'Asumsi &amp; Sumber Data'!$B$8, 0)</f>
        <v>10208888622.9</v>
      </c>
      <c r="I12" s="18">
        <f>IF(I11&gt;0, I11*'Asumsi &amp; Sumber Data'!$B$8, 0)</f>
        <v>10741887257.566668</v>
      </c>
      <c r="J12" s="18">
        <f>IF(J11&gt;0, J11*'Asumsi &amp; Sumber Data'!$B$8, 0)</f>
        <v>11274885892.233335</v>
      </c>
      <c r="K12" s="18">
        <f>IF(K11&gt;0, K11*'Asumsi &amp; Sumber Data'!$B$8, 0)</f>
        <v>11807884526.9</v>
      </c>
      <c r="L12" s="18">
        <f>IF(L11&gt;0, L11*'Asumsi &amp; Sumber Data'!$B$8, 0)</f>
        <v>12340883161.566668</v>
      </c>
    </row>
    <row r="13" spans="1:12" ht="20" customHeight="1" x14ac:dyDescent="0.35">
      <c r="A13" s="7" t="s">
        <v>189</v>
      </c>
      <c r="B13" s="25">
        <v>0</v>
      </c>
      <c r="C13" s="25">
        <f t="shared" ref="C13:L13" si="2">C11-C12</f>
        <v>19187648684.099998</v>
      </c>
      <c r="D13" s="25">
        <f t="shared" si="2"/>
        <v>24856815980.099998</v>
      </c>
      <c r="E13" s="25">
        <f t="shared" si="2"/>
        <v>30525983276.099998</v>
      </c>
      <c r="F13" s="25">
        <f t="shared" si="2"/>
        <v>32415705708.100006</v>
      </c>
      <c r="G13" s="25">
        <f t="shared" si="2"/>
        <v>34305428140.099998</v>
      </c>
      <c r="H13" s="25">
        <f t="shared" si="2"/>
        <v>36195150572.099998</v>
      </c>
      <c r="I13" s="25">
        <f t="shared" si="2"/>
        <v>38084873004.100006</v>
      </c>
      <c r="J13" s="25">
        <f t="shared" si="2"/>
        <v>39974595436.100006</v>
      </c>
      <c r="K13" s="25">
        <f t="shared" si="2"/>
        <v>41864317868.099998</v>
      </c>
      <c r="L13" s="25">
        <f t="shared" si="2"/>
        <v>43754040300.100006</v>
      </c>
    </row>
    <row r="14" spans="1:12" ht="20" customHeight="1" x14ac:dyDescent="0.35">
      <c r="A14" s="7" t="s">
        <v>190</v>
      </c>
      <c r="B14" s="33">
        <f>-'CAPEX Detail'!$F$18</f>
        <v>-249500080100</v>
      </c>
      <c r="C14" s="33">
        <f t="shared" ref="C14:L14" si="3">C13+C10</f>
        <v>31662652689.099998</v>
      </c>
      <c r="D14" s="33">
        <f t="shared" si="3"/>
        <v>37331819985.099998</v>
      </c>
      <c r="E14" s="33">
        <f t="shared" si="3"/>
        <v>43000987281.099998</v>
      </c>
      <c r="F14" s="33">
        <f t="shared" si="3"/>
        <v>44890709713.100006</v>
      </c>
      <c r="G14" s="33">
        <f t="shared" si="3"/>
        <v>46780432145.099998</v>
      </c>
      <c r="H14" s="33">
        <f t="shared" si="3"/>
        <v>48670154577.099998</v>
      </c>
      <c r="I14" s="33">
        <f t="shared" si="3"/>
        <v>50559877009.100006</v>
      </c>
      <c r="J14" s="33">
        <f t="shared" si="3"/>
        <v>52449599441.100006</v>
      </c>
      <c r="K14" s="33">
        <f t="shared" si="3"/>
        <v>54339321873.099998</v>
      </c>
      <c r="L14" s="33">
        <f t="shared" si="3"/>
        <v>56229044305.100006</v>
      </c>
    </row>
    <row r="15" spans="1:12" ht="20" customHeight="1" x14ac:dyDescent="0.35">
      <c r="A15" s="7" t="s">
        <v>191</v>
      </c>
      <c r="B15" s="25">
        <f>B14</f>
        <v>-249500080100</v>
      </c>
      <c r="C15" s="25">
        <f t="shared" ref="C15:L15" si="4">B15+C14</f>
        <v>-217837427410.89999</v>
      </c>
      <c r="D15" s="25">
        <f t="shared" si="4"/>
        <v>-180505607425.79999</v>
      </c>
      <c r="E15" s="25">
        <f t="shared" si="4"/>
        <v>-137504620144.69998</v>
      </c>
      <c r="F15" s="25">
        <f t="shared" si="4"/>
        <v>-92613910431.599976</v>
      </c>
      <c r="G15" s="25">
        <f t="shared" si="4"/>
        <v>-45833478286.499977</v>
      </c>
      <c r="H15" s="25">
        <f t="shared" si="4"/>
        <v>2836676290.6000214</v>
      </c>
      <c r="I15" s="25">
        <f t="shared" si="4"/>
        <v>53396553299.700027</v>
      </c>
      <c r="J15" s="25">
        <f t="shared" si="4"/>
        <v>105846152740.80003</v>
      </c>
      <c r="K15" s="25">
        <f t="shared" si="4"/>
        <v>160185474613.90002</v>
      </c>
      <c r="L15" s="25">
        <f t="shared" si="4"/>
        <v>216414518919.00003</v>
      </c>
    </row>
    <row r="18" spans="1:5" x14ac:dyDescent="0.35">
      <c r="A18" s="41" t="s">
        <v>192</v>
      </c>
      <c r="B18" s="38"/>
      <c r="C18" s="38"/>
      <c r="D18" s="38"/>
      <c r="E18" s="38"/>
    </row>
    <row r="19" spans="1:5" ht="21" customHeight="1" x14ac:dyDescent="0.35">
      <c r="A19" s="50" t="s">
        <v>5</v>
      </c>
      <c r="B19" s="51">
        <f>'Asumsi &amp; Sumber Data'!$B$6</f>
        <v>0.1</v>
      </c>
      <c r="C19" s="52" t="s">
        <v>193</v>
      </c>
    </row>
    <row r="20" spans="1:5" ht="21" customHeight="1" x14ac:dyDescent="0.35">
      <c r="A20" s="50" t="s">
        <v>194</v>
      </c>
      <c r="B20" s="53">
        <f>NPV(B19, C14:L14) + B14</f>
        <v>24762375876.090942</v>
      </c>
      <c r="C20" s="52" t="s">
        <v>195</v>
      </c>
    </row>
    <row r="21" spans="1:5" ht="21" customHeight="1" x14ac:dyDescent="0.35">
      <c r="A21" s="50" t="s">
        <v>196</v>
      </c>
      <c r="B21" s="54">
        <f>IRR(B14:L14)</f>
        <v>0.12055424434028184</v>
      </c>
      <c r="C21" s="52" t="s">
        <v>197</v>
      </c>
    </row>
    <row r="22" spans="1:5" ht="21" customHeight="1" x14ac:dyDescent="0.35">
      <c r="A22" s="50" t="s">
        <v>198</v>
      </c>
      <c r="B22" s="55">
        <f>5+(-G15/H14)</f>
        <v>5.941716308171852</v>
      </c>
      <c r="C22" s="52" t="s">
        <v>199</v>
      </c>
    </row>
    <row r="23" spans="1:5" ht="21" customHeight="1" x14ac:dyDescent="0.35">
      <c r="A23" s="50" t="s">
        <v>200</v>
      </c>
      <c r="B23" s="51">
        <f>SUM(C13:L13)/'CAPEX Detail'!$F$18</f>
        <v>1.367392582929275</v>
      </c>
      <c r="C23" s="52" t="s">
        <v>201</v>
      </c>
    </row>
  </sheetData>
  <mergeCells count="3">
    <mergeCell ref="A2:H2"/>
    <mergeCell ref="A18:E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workbookViewId="0">
      <selection sqref="A1:H2"/>
    </sheetView>
  </sheetViews>
  <sheetFormatPr defaultRowHeight="14.5" x14ac:dyDescent="0.35"/>
  <cols>
    <col min="1" max="1" width="6.1796875" bestFit="1" customWidth="1"/>
    <col min="2" max="2" width="23.81640625" bestFit="1" customWidth="1"/>
    <col min="3" max="3" width="77.81640625" customWidth="1"/>
    <col min="4" max="4" width="7" bestFit="1" customWidth="1"/>
    <col min="5" max="5" width="15.90625" bestFit="1" customWidth="1"/>
    <col min="6" max="6" width="14.08984375" bestFit="1" customWidth="1"/>
    <col min="7" max="7" width="34.08984375" bestFit="1" customWidth="1"/>
    <col min="8" max="8" width="13.36328125" bestFit="1" customWidth="1"/>
  </cols>
  <sheetData>
    <row r="1" spans="1:8" ht="26" customHeight="1" x14ac:dyDescent="0.35">
      <c r="A1" s="44" t="s">
        <v>202</v>
      </c>
      <c r="B1" s="45"/>
      <c r="C1" s="45"/>
      <c r="D1" s="45"/>
      <c r="E1" s="45"/>
      <c r="F1" s="45"/>
      <c r="G1" s="45"/>
      <c r="H1" s="45"/>
    </row>
    <row r="2" spans="1:8" ht="18" customHeight="1" x14ac:dyDescent="0.35">
      <c r="A2" s="43"/>
      <c r="B2" s="42"/>
      <c r="C2" s="42"/>
      <c r="D2" s="42"/>
      <c r="E2" s="42"/>
      <c r="F2" s="42"/>
      <c r="G2" s="42"/>
      <c r="H2" s="42"/>
    </row>
    <row r="3" spans="1:8" ht="8" customHeight="1" x14ac:dyDescent="0.35"/>
    <row r="5" spans="1:8" ht="24" customHeight="1" x14ac:dyDescent="0.35">
      <c r="A5" s="3" t="s">
        <v>203</v>
      </c>
      <c r="B5" s="2" t="s">
        <v>204</v>
      </c>
      <c r="C5" s="2" t="s">
        <v>205</v>
      </c>
      <c r="D5" s="3" t="s">
        <v>206</v>
      </c>
      <c r="E5" s="2" t="s">
        <v>207</v>
      </c>
      <c r="F5" s="2" t="s">
        <v>208</v>
      </c>
      <c r="G5" s="2" t="s">
        <v>209</v>
      </c>
      <c r="H5" s="3" t="s">
        <v>210</v>
      </c>
    </row>
    <row r="6" spans="1:8" ht="20" customHeight="1" x14ac:dyDescent="0.35">
      <c r="A6" s="13" t="s">
        <v>211</v>
      </c>
      <c r="B6" s="15" t="s">
        <v>212</v>
      </c>
      <c r="C6" s="56" t="s">
        <v>213</v>
      </c>
      <c r="D6" s="34" t="s">
        <v>214</v>
      </c>
      <c r="E6" s="6" t="s">
        <v>215</v>
      </c>
      <c r="F6" s="6" t="s">
        <v>216</v>
      </c>
      <c r="G6" s="15" t="s">
        <v>217</v>
      </c>
      <c r="H6" s="13" t="s">
        <v>218</v>
      </c>
    </row>
    <row r="7" spans="1:8" ht="20" customHeight="1" x14ac:dyDescent="0.35">
      <c r="A7" s="14" t="s">
        <v>219</v>
      </c>
      <c r="B7" s="21" t="s">
        <v>220</v>
      </c>
      <c r="C7" s="57" t="s">
        <v>221</v>
      </c>
      <c r="D7" s="35" t="s">
        <v>222</v>
      </c>
      <c r="E7" s="9" t="s">
        <v>223</v>
      </c>
      <c r="F7" s="9" t="s">
        <v>216</v>
      </c>
      <c r="G7" s="21" t="s">
        <v>224</v>
      </c>
      <c r="H7" s="14" t="s">
        <v>225</v>
      </c>
    </row>
    <row r="8" spans="1:8" ht="20" customHeight="1" x14ac:dyDescent="0.35">
      <c r="A8" s="13" t="s">
        <v>226</v>
      </c>
      <c r="B8" s="15" t="s">
        <v>227</v>
      </c>
      <c r="C8" s="56" t="s">
        <v>228</v>
      </c>
      <c r="D8" s="34" t="s">
        <v>214</v>
      </c>
      <c r="E8" s="6" t="s">
        <v>229</v>
      </c>
      <c r="F8" s="6" t="s">
        <v>230</v>
      </c>
      <c r="G8" s="15" t="s">
        <v>231</v>
      </c>
      <c r="H8" s="13" t="s">
        <v>232</v>
      </c>
    </row>
    <row r="9" spans="1:8" ht="20" customHeight="1" x14ac:dyDescent="0.35">
      <c r="A9" s="14" t="s">
        <v>233</v>
      </c>
      <c r="B9" s="21" t="s">
        <v>234</v>
      </c>
      <c r="C9" s="57" t="s">
        <v>235</v>
      </c>
      <c r="D9" s="36" t="s">
        <v>214</v>
      </c>
      <c r="E9" s="9" t="s">
        <v>236</v>
      </c>
      <c r="F9" s="9" t="s">
        <v>237</v>
      </c>
      <c r="G9" s="21" t="s">
        <v>238</v>
      </c>
      <c r="H9" s="14" t="s">
        <v>239</v>
      </c>
    </row>
    <row r="10" spans="1:8" ht="20" customHeight="1" x14ac:dyDescent="0.35">
      <c r="A10" s="13" t="s">
        <v>240</v>
      </c>
      <c r="B10" s="15" t="s">
        <v>241</v>
      </c>
      <c r="C10" s="56" t="s">
        <v>242</v>
      </c>
      <c r="D10" s="34" t="s">
        <v>214</v>
      </c>
      <c r="E10" s="6" t="s">
        <v>243</v>
      </c>
      <c r="F10" s="6" t="s">
        <v>237</v>
      </c>
      <c r="G10" s="15" t="s">
        <v>244</v>
      </c>
      <c r="H10" s="13" t="s">
        <v>245</v>
      </c>
    </row>
    <row r="11" spans="1:8" ht="20" customHeight="1" x14ac:dyDescent="0.35">
      <c r="A11" s="14" t="s">
        <v>246</v>
      </c>
      <c r="B11" s="21" t="s">
        <v>247</v>
      </c>
      <c r="C11" s="57" t="s">
        <v>248</v>
      </c>
      <c r="D11" s="35" t="s">
        <v>222</v>
      </c>
      <c r="E11" s="9" t="s">
        <v>249</v>
      </c>
      <c r="F11" s="9" t="s">
        <v>250</v>
      </c>
      <c r="G11" s="21" t="s">
        <v>251</v>
      </c>
      <c r="H11" s="14" t="s">
        <v>252</v>
      </c>
    </row>
    <row r="12" spans="1:8" ht="20" customHeight="1" x14ac:dyDescent="0.35">
      <c r="A12" s="13" t="s">
        <v>253</v>
      </c>
      <c r="B12" s="15" t="s">
        <v>254</v>
      </c>
      <c r="C12" s="56" t="s">
        <v>255</v>
      </c>
      <c r="D12" s="37" t="s">
        <v>222</v>
      </c>
      <c r="E12" s="6" t="s">
        <v>256</v>
      </c>
      <c r="F12" s="6" t="s">
        <v>250</v>
      </c>
      <c r="G12" s="15" t="s">
        <v>257</v>
      </c>
      <c r="H12" s="13" t="s">
        <v>252</v>
      </c>
    </row>
    <row r="13" spans="1:8" ht="20" customHeight="1" x14ac:dyDescent="0.35">
      <c r="A13" s="14" t="s">
        <v>258</v>
      </c>
      <c r="B13" s="21" t="s">
        <v>259</v>
      </c>
      <c r="C13" s="57" t="s">
        <v>260</v>
      </c>
      <c r="D13" s="36" t="s">
        <v>214</v>
      </c>
      <c r="E13" s="9" t="s">
        <v>261</v>
      </c>
      <c r="F13" s="9" t="s">
        <v>250</v>
      </c>
      <c r="G13" s="21" t="s">
        <v>262</v>
      </c>
      <c r="H13" s="14" t="s">
        <v>252</v>
      </c>
    </row>
    <row r="14" spans="1:8" ht="20" customHeight="1" x14ac:dyDescent="0.35">
      <c r="A14" s="13" t="s">
        <v>263</v>
      </c>
      <c r="B14" s="15" t="s">
        <v>264</v>
      </c>
      <c r="C14" s="56" t="s">
        <v>265</v>
      </c>
      <c r="D14" s="37" t="s">
        <v>222</v>
      </c>
      <c r="E14" s="6" t="s">
        <v>266</v>
      </c>
      <c r="F14" s="6" t="s">
        <v>267</v>
      </c>
      <c r="G14" s="15" t="s">
        <v>268</v>
      </c>
      <c r="H14" s="13" t="s">
        <v>269</v>
      </c>
    </row>
    <row r="15" spans="1:8" ht="20" customHeight="1" x14ac:dyDescent="0.35">
      <c r="A15" s="14" t="s">
        <v>270</v>
      </c>
      <c r="B15" s="21" t="s">
        <v>271</v>
      </c>
      <c r="C15" s="57" t="s">
        <v>272</v>
      </c>
      <c r="D15" s="35" t="s">
        <v>222</v>
      </c>
      <c r="E15" s="9" t="s">
        <v>273</v>
      </c>
      <c r="F15" s="9" t="s">
        <v>267</v>
      </c>
      <c r="G15" s="21" t="s">
        <v>274</v>
      </c>
      <c r="H15" s="14" t="s">
        <v>269</v>
      </c>
    </row>
    <row r="16" spans="1:8" ht="20" customHeight="1" x14ac:dyDescent="0.35">
      <c r="A16" s="13" t="s">
        <v>275</v>
      </c>
      <c r="B16" s="15" t="s">
        <v>276</v>
      </c>
      <c r="C16" s="56" t="s">
        <v>277</v>
      </c>
      <c r="D16" s="17" t="s">
        <v>278</v>
      </c>
      <c r="E16" s="6" t="s">
        <v>279</v>
      </c>
      <c r="F16" s="6" t="s">
        <v>280</v>
      </c>
      <c r="G16" s="15" t="s">
        <v>281</v>
      </c>
      <c r="H16" s="13" t="s">
        <v>239</v>
      </c>
    </row>
    <row r="17" spans="1:8" ht="20" customHeight="1" x14ac:dyDescent="0.35">
      <c r="A17" s="14" t="s">
        <v>282</v>
      </c>
      <c r="B17" s="21" t="s">
        <v>283</v>
      </c>
      <c r="C17" s="57" t="s">
        <v>284</v>
      </c>
      <c r="D17" s="36" t="s">
        <v>214</v>
      </c>
      <c r="E17" s="9" t="s">
        <v>285</v>
      </c>
      <c r="F17" s="9" t="s">
        <v>286</v>
      </c>
      <c r="G17" s="21" t="s">
        <v>287</v>
      </c>
      <c r="H17" s="14" t="s">
        <v>288</v>
      </c>
    </row>
    <row r="18" spans="1:8" ht="20" customHeight="1" x14ac:dyDescent="0.35">
      <c r="A18" s="13" t="s">
        <v>289</v>
      </c>
      <c r="B18" s="15" t="s">
        <v>290</v>
      </c>
      <c r="C18" s="56" t="s">
        <v>291</v>
      </c>
      <c r="D18" s="37" t="s">
        <v>222</v>
      </c>
      <c r="E18" s="6" t="s">
        <v>292</v>
      </c>
      <c r="F18" s="6" t="s">
        <v>293</v>
      </c>
      <c r="G18" s="15" t="s">
        <v>294</v>
      </c>
      <c r="H18" s="13" t="s">
        <v>295</v>
      </c>
    </row>
    <row r="19" spans="1:8" ht="20" customHeight="1" x14ac:dyDescent="0.35">
      <c r="A19" s="14" t="s">
        <v>296</v>
      </c>
      <c r="B19" s="21" t="s">
        <v>297</v>
      </c>
      <c r="C19" s="57" t="s">
        <v>298</v>
      </c>
      <c r="D19" s="36" t="s">
        <v>214</v>
      </c>
      <c r="E19" s="9" t="s">
        <v>299</v>
      </c>
      <c r="F19" s="9" t="s">
        <v>300</v>
      </c>
      <c r="G19" s="21" t="s">
        <v>301</v>
      </c>
      <c r="H19" s="14" t="s">
        <v>302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Asumsi &amp; Sumber Data</vt:lpstr>
      <vt:lpstr>CAPEX Detail</vt:lpstr>
      <vt:lpstr>OPEX Detail</vt:lpstr>
      <vt:lpstr>Model Pendapatan</vt:lpstr>
      <vt:lpstr>Cash Flow 10 Thn</vt:lpstr>
      <vt:lpstr>Matriks SRS (RTM)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Zulfikar Jafarudin Fatah</dc:creator>
  <cp:lastModifiedBy>Zulfikar Jafarudin Fatah</cp:lastModifiedBy>
  <dcterms:created xsi:type="dcterms:W3CDTF">2026-10-03T14:02:44Z</dcterms:created>
  <dcterms:modified xsi:type="dcterms:W3CDTF">2026-10-03T14:13:38Z</dcterms:modified>
</cp:coreProperties>
</file>